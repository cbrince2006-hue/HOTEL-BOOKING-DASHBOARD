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cer\Desktop\"/>
    </mc:Choice>
  </mc:AlternateContent>
  <xr:revisionPtr revIDLastSave="0" documentId="8_{14501E87-31AE-43F2-A2C6-79764353B09E}" xr6:coauthVersionLast="47" xr6:coauthVersionMax="47" xr10:uidLastSave="{00000000-0000-0000-0000-000000000000}"/>
  <bookViews>
    <workbookView xWindow="-120" yWindow="-120" windowWidth="20730" windowHeight="11040" xr2:uid="{550158D9-4DA6-4656-A965-214979CD0391}"/>
  </bookViews>
  <sheets>
    <sheet name="Dashboard" sheetId="5" r:id="rId1"/>
    <sheet name="Pivot Table" sheetId="2" r:id="rId2"/>
    <sheet name="Hotel Booking " sheetId="1" r:id="rId3"/>
  </sheets>
  <definedNames>
    <definedName name="Slicer_Booking_Status">#N/A</definedName>
    <definedName name="Slicer_Country">#N/A</definedName>
    <definedName name="Slicer_Customer_Type">#N/A</definedName>
    <definedName name="Slicer_Room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8" i="1" l="1"/>
  <c r="N6" i="1"/>
  <c r="N4" i="1"/>
  <c r="N2" i="1"/>
</calcChain>
</file>

<file path=xl/sharedStrings.xml><?xml version="1.0" encoding="utf-8"?>
<sst xmlns="http://schemas.openxmlformats.org/spreadsheetml/2006/main" count="143" uniqueCount="58">
  <si>
    <t>Booking ID</t>
  </si>
  <si>
    <t>Booking Date</t>
  </si>
  <si>
    <t>Check-in Date</t>
  </si>
  <si>
    <t>Room Type</t>
  </si>
  <si>
    <t>Customer Type</t>
  </si>
  <si>
    <t>Country</t>
  </si>
  <si>
    <t>Guests</t>
  </si>
  <si>
    <t>Nights</t>
  </si>
  <si>
    <t>Booking Status</t>
  </si>
  <si>
    <t>Room Price</t>
  </si>
  <si>
    <t>Total Revenue</t>
  </si>
  <si>
    <t>Payment Method</t>
  </si>
  <si>
    <t>HB001</t>
  </si>
  <si>
    <t>Standard</t>
  </si>
  <si>
    <t>Individual</t>
  </si>
  <si>
    <t>India</t>
  </si>
  <si>
    <t>Completed</t>
  </si>
  <si>
    <t>UPI</t>
  </si>
  <si>
    <t>HB002</t>
  </si>
  <si>
    <t>Deluxe</t>
  </si>
  <si>
    <t>Couple</t>
  </si>
  <si>
    <t>UAE</t>
  </si>
  <si>
    <t>Confirmed</t>
  </si>
  <si>
    <t>Card</t>
  </si>
  <si>
    <t>HB003</t>
  </si>
  <si>
    <t>Suite</t>
  </si>
  <si>
    <t>Family</t>
  </si>
  <si>
    <t>Net Banking</t>
  </si>
  <si>
    <t>HB004</t>
  </si>
  <si>
    <t>Executive</t>
  </si>
  <si>
    <t>Corporate</t>
  </si>
  <si>
    <t>UK</t>
  </si>
  <si>
    <t>HB005</t>
  </si>
  <si>
    <t>Singapore</t>
  </si>
  <si>
    <t>Cancelled</t>
  </si>
  <si>
    <t>HB006</t>
  </si>
  <si>
    <t>Cash</t>
  </si>
  <si>
    <t>HB007</t>
  </si>
  <si>
    <t>USA</t>
  </si>
  <si>
    <t>HB008</t>
  </si>
  <si>
    <t>HB009</t>
  </si>
  <si>
    <t>Malaysia</t>
  </si>
  <si>
    <t>HB010</t>
  </si>
  <si>
    <t>Canada</t>
  </si>
  <si>
    <t>HB011</t>
  </si>
  <si>
    <t>HB012</t>
  </si>
  <si>
    <t>Australia</t>
  </si>
  <si>
    <t>HB013</t>
  </si>
  <si>
    <t>HB014</t>
  </si>
  <si>
    <t>HB015</t>
  </si>
  <si>
    <t>Total Bookings</t>
  </si>
  <si>
    <t>Average Length of Stay (Nights)</t>
  </si>
  <si>
    <t>Cancellation Rate</t>
  </si>
  <si>
    <t>Row Labels</t>
  </si>
  <si>
    <t>Grand Total</t>
  </si>
  <si>
    <t>Sum of Total Revenue</t>
  </si>
  <si>
    <t>Count of Booking 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</si>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</sst>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4" x14ac:knownFonts="1">
    <font>
      <sz val="11"/>
      <color theme="1"/>
      <name val="Aptos Narrow"/>
      <family val="2"/>
      <scheme val="minor"/>
    </font>
    <font>
      <b/>
      <sz val="11"/>
      <color theme="1"/>
      <name val="Aptos Narrow"/>
      <family val="2"/>
      <scheme val="minor"/>
    </font>
    <font>
      <sz val="11"/>
      <color theme="3"/>
      <name val="Aptos Narrow"/>
      <family val="2"/>
      <scheme val="minor"/>
    </font>
    <font>
      <sz val="11"/>
      <color theme="4"/>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4" fontId="1" fillId="0" borderId="0" xfId="0" applyNumberFormat="1" applyFont="1" applyAlignment="1">
      <alignment horizontal="center" vertical="center" wrapText="1"/>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2" fillId="0" borderId="0" xfId="0" applyFont="1"/>
    <xf numFmtId="0" fontId="3" fillId="0" borderId="0" xfId="0" applyFont="1"/>
  </cellXfs>
  <cellStyles count="1">
    <cellStyle name="Normal" xfId="0" builtinId="0"/>
  </cellStyles>
  <dxfs count="15">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165"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DASHBOARD.xlsx]Pivot Table!PivotTable1</c:name>
    <c:fmtId val="13"/>
  </c:pivotSource>
  <c:chart>
    <c:autoTitleDeleted val="1"/>
    <c:pivotFmts>
      <c:pivotFmt>
        <c:idx val="0"/>
        <c:spPr>
          <a:solidFill>
            <a:schemeClr val="accent1">
              <a:lumMod val="50000"/>
            </a:schemeClr>
          </a:solidFill>
          <a:ln>
            <a:noFill/>
          </a:ln>
          <a:effectLst>
            <a:outerShdw blurRad="50800" dir="540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outerShdw blurRad="50800" dir="540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50800" dir="540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0830871553991"/>
          <c:y val="6.790806003400135E-2"/>
          <c:w val="0.83025415573053374"/>
          <c:h val="0.82161307961504815"/>
        </c:manualLayout>
      </c:layout>
      <c:barChart>
        <c:barDir val="col"/>
        <c:grouping val="clustered"/>
        <c:varyColors val="0"/>
        <c:ser>
          <c:idx val="0"/>
          <c:order val="0"/>
          <c:tx>
            <c:strRef>
              <c:f>'Pivot Table'!$B$3</c:f>
              <c:strCache>
                <c:ptCount val="1"/>
                <c:pt idx="0">
                  <c:v>Total</c:v>
                </c:pt>
              </c:strCache>
            </c:strRef>
          </c:tx>
          <c:spPr>
            <a:solidFill>
              <a:schemeClr val="accent1">
                <a:lumMod val="50000"/>
              </a:schemeClr>
            </a:solidFill>
            <a:ln>
              <a:noFill/>
            </a:ln>
            <a:effectLst>
              <a:outerShdw blurRad="50800" dir="5400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Table'!$A$4:$A$8</c:f>
              <c:strCache>
                <c:ptCount val="4"/>
                <c:pt idx="0">
                  <c:v>Deluxe</c:v>
                </c:pt>
                <c:pt idx="1">
                  <c:v>Executive</c:v>
                </c:pt>
                <c:pt idx="2">
                  <c:v>Standard</c:v>
                </c:pt>
                <c:pt idx="3">
                  <c:v>Suite</c:v>
                </c:pt>
              </c:strCache>
            </c:strRef>
          </c:cat>
          <c:val>
            <c:numRef>
              <c:f>'Pivot Table'!$B$4:$B$8</c:f>
              <c:numCache>
                <c:formatCode>General</c:formatCode>
                <c:ptCount val="4"/>
                <c:pt idx="0">
                  <c:v>35000</c:v>
                </c:pt>
                <c:pt idx="1">
                  <c:v>90000</c:v>
                </c:pt>
                <c:pt idx="2">
                  <c:v>57200</c:v>
                </c:pt>
                <c:pt idx="3">
                  <c:v>132000</c:v>
                </c:pt>
              </c:numCache>
            </c:numRef>
          </c:val>
          <c:extLst>
            <c:ext xmlns:c16="http://schemas.microsoft.com/office/drawing/2014/chart" uri="{C3380CC4-5D6E-409C-BE32-E72D297353CC}">
              <c16:uniqueId val="{00000000-6B73-417F-85AD-BF6B3E73CDA8}"/>
            </c:ext>
          </c:extLst>
        </c:ser>
        <c:dLbls>
          <c:dLblPos val="outEnd"/>
          <c:showLegendKey val="0"/>
          <c:showVal val="1"/>
          <c:showCatName val="0"/>
          <c:showSerName val="0"/>
          <c:showPercent val="0"/>
          <c:showBubbleSize val="0"/>
        </c:dLbls>
        <c:gapWidth val="199"/>
        <c:axId val="1087295647"/>
        <c:axId val="1164807119"/>
      </c:barChart>
      <c:catAx>
        <c:axId val="108729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none" spc="0" normalizeH="0" baseline="0">
                <a:solidFill>
                  <a:schemeClr val="tx2"/>
                </a:solidFill>
                <a:latin typeface="+mn-lt"/>
                <a:ea typeface="+mn-ea"/>
                <a:cs typeface="+mn-cs"/>
              </a:defRPr>
            </a:pPr>
            <a:endParaRPr lang="en-US"/>
          </a:p>
        </c:txPr>
        <c:crossAx val="1164807119"/>
        <c:crosses val="autoZero"/>
        <c:auto val="1"/>
        <c:lblAlgn val="ctr"/>
        <c:lblOffset val="100"/>
        <c:noMultiLvlLbl val="0"/>
      </c:catAx>
      <c:valAx>
        <c:axId val="1164807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108729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DASHBOARD.xlsx]Pivot Table!PivotTable2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055555555555545E-2"/>
              <c:y val="-8.333333333333334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w="19050">
            <a:solidFill>
              <a:schemeClr val="lt1"/>
            </a:solidFill>
          </a:ln>
          <a:effectLst/>
        </c:spPr>
        <c:dLbl>
          <c:idx val="0"/>
          <c:layout>
            <c:manualLayout>
              <c:x val="-9.1666666666666688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w="19050">
            <a:solidFill>
              <a:schemeClr val="lt1"/>
            </a:solidFill>
          </a:ln>
          <a:effectLst/>
        </c:spPr>
        <c:dLbl>
          <c:idx val="0"/>
          <c:layout>
            <c:manualLayout>
              <c:x val="0.10277777777777768"/>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055555555555545E-2"/>
              <c:y val="-8.333333333333334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w="19050">
            <a:solidFill>
              <a:schemeClr val="lt1"/>
            </a:solidFill>
          </a:ln>
          <a:effectLst/>
        </c:spPr>
        <c:dLbl>
          <c:idx val="0"/>
          <c:layout>
            <c:manualLayout>
              <c:x val="0.10277777777777768"/>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solidFill>
          <a:ln w="19050">
            <a:solidFill>
              <a:schemeClr val="lt1"/>
            </a:solidFill>
          </a:ln>
          <a:effectLst/>
        </c:spPr>
        <c:dLbl>
          <c:idx val="0"/>
          <c:layout>
            <c:manualLayout>
              <c:x val="-9.1666666666666688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055555555555545E-2"/>
              <c:y val="-8.333333333333334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25000"/>
              <a:lumOff val="75000"/>
            </a:schemeClr>
          </a:solidFill>
          <a:ln w="19050">
            <a:solidFill>
              <a:schemeClr val="lt1"/>
            </a:solidFill>
          </a:ln>
          <a:effectLst/>
        </c:spPr>
        <c:dLbl>
          <c:idx val="0"/>
          <c:layout>
            <c:manualLayout>
              <c:x val="0.10277777777777768"/>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solidFill>
          <a:ln w="19050">
            <a:solidFill>
              <a:schemeClr val="lt1"/>
            </a:solidFill>
          </a:ln>
          <a:effectLst/>
        </c:spPr>
        <c:dLbl>
          <c:idx val="0"/>
          <c:layout>
            <c:manualLayout>
              <c:x val="-9.1666666666666688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68-47D7-A5D6-B4159D6671EB}"/>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4468-47D7-A5D6-B4159D6671EB}"/>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5-4468-47D7-A5D6-B4159D6671EB}"/>
              </c:ext>
            </c:extLst>
          </c:dPt>
          <c:dLbls>
            <c:dLbl>
              <c:idx val="0"/>
              <c:layout>
                <c:manualLayout>
                  <c:x val="8.055555555555545E-2"/>
                  <c:y val="-8.33333333333333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68-47D7-A5D6-B4159D6671EB}"/>
                </c:ext>
              </c:extLst>
            </c:dLbl>
            <c:dLbl>
              <c:idx val="1"/>
              <c:layout>
                <c:manualLayout>
                  <c:x val="0.10277777777777768"/>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68-47D7-A5D6-B4159D6671EB}"/>
                </c:ext>
              </c:extLst>
            </c:dLbl>
            <c:dLbl>
              <c:idx val="2"/>
              <c:layout>
                <c:manualLayout>
                  <c:x val="-9.1666666666666688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68-47D7-A5D6-B4159D6671E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Table'!$D$4:$D$7</c:f>
              <c:strCache>
                <c:ptCount val="3"/>
                <c:pt idx="0">
                  <c:v>Cancelled</c:v>
                </c:pt>
                <c:pt idx="1">
                  <c:v>Completed</c:v>
                </c:pt>
                <c:pt idx="2">
                  <c:v>Confirmed</c:v>
                </c:pt>
              </c:strCache>
            </c:strRef>
          </c:cat>
          <c:val>
            <c:numRef>
              <c:f>'Pivot Table'!$E$4:$E$7</c:f>
              <c:numCache>
                <c:formatCode>General</c:formatCode>
                <c:ptCount val="3"/>
                <c:pt idx="0">
                  <c:v>2</c:v>
                </c:pt>
                <c:pt idx="1">
                  <c:v>7</c:v>
                </c:pt>
                <c:pt idx="2">
                  <c:v>6</c:v>
                </c:pt>
              </c:numCache>
            </c:numRef>
          </c:val>
          <c:extLst>
            <c:ext xmlns:c16="http://schemas.microsoft.com/office/drawing/2014/chart" uri="{C3380CC4-5D6E-409C-BE32-E72D297353CC}">
              <c16:uniqueId val="{00000006-4468-47D7-A5D6-B4159D6671EB}"/>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5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DASHBOARD.xlsx]Pivot Table!PivotTable4</c:name>
    <c:fmtId val="6"/>
  </c:pivotSource>
  <c:chart>
    <c:autoTitleDeleted val="1"/>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13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a:outerShdw blurRad="50800" dist="177800" dir="5400000" algn="ctr" rotWithShape="0">
              <a:srgbClr val="000000">
                <a:alpha val="43137"/>
              </a:srgbClr>
            </a:outerShdw>
          </a:effectLst>
        </c:spPr>
      </c:pivotFmt>
      <c:pivotFmt>
        <c:idx val="2"/>
        <c:spPr>
          <a:solidFill>
            <a:schemeClr val="tx2"/>
          </a:solidFill>
          <a:ln>
            <a:noFill/>
          </a:ln>
          <a:effectLst>
            <a:outerShdw blurRad="50800" dist="88900" dir="5400000" algn="ctr" rotWithShape="0">
              <a:srgbClr val="000000">
                <a:alpha val="43137"/>
              </a:srgbClr>
            </a:outerShdw>
          </a:effectLst>
        </c:spPr>
      </c:pivotFmt>
      <c:pivotFmt>
        <c:idx val="3"/>
        <c:spPr>
          <a:solidFill>
            <a:schemeClr val="tx2"/>
          </a:solidFill>
          <a:ln>
            <a:noFill/>
          </a:ln>
          <a:effectLst>
            <a:outerShdw blurRad="50800" dist="50800" dir="5400000" algn="ctr" rotWithShape="0">
              <a:srgbClr val="000000">
                <a:alpha val="43137"/>
              </a:srgbClr>
            </a:outerShdw>
          </a:effectLst>
        </c:spPr>
      </c:pivotFmt>
      <c:pivotFmt>
        <c:idx val="4"/>
        <c:spPr>
          <a:solidFill>
            <a:schemeClr val="tx2"/>
          </a:solidFill>
          <a:ln>
            <a:noFill/>
          </a:ln>
          <a:effectLst>
            <a:outerShdw blurRad="50800" dist="127000" dir="5400000" algn="ctr" rotWithShape="0">
              <a:srgbClr val="000000">
                <a:alpha val="43137"/>
              </a:srgbClr>
            </a:outerShdw>
          </a:effectLst>
        </c:spPr>
      </c:pivotFmt>
      <c:pivotFmt>
        <c:idx val="5"/>
        <c:spPr>
          <a:solidFill>
            <a:schemeClr val="tx2"/>
          </a:solidFill>
          <a:ln>
            <a:noFill/>
          </a:ln>
          <a:effectLst>
            <a:outerShdw blurRad="50800" dist="76200" dir="5400000" algn="ctr" rotWithShape="0">
              <a:srgbClr val="000000">
                <a:alpha val="43137"/>
              </a:srgbClr>
            </a:outerShdw>
          </a:effectLst>
        </c:spPr>
      </c:pivotFmt>
      <c:pivotFmt>
        <c:idx val="6"/>
        <c:spPr>
          <a:solidFill>
            <a:schemeClr val="tx2"/>
          </a:solidFill>
          <a:ln>
            <a:noFill/>
          </a:ln>
          <a:effectLst>
            <a:outerShdw blurRad="50800" dist="114300" dir="5400000" algn="ctr" rotWithShape="0">
              <a:srgbClr val="000000">
                <a:alpha val="43137"/>
              </a:srgbClr>
            </a:outerShdw>
          </a:effectLst>
        </c:spPr>
      </c:pivotFmt>
      <c:pivotFmt>
        <c:idx val="7"/>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13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a:outerShdw blurRad="50800" dist="114300" dir="5400000" algn="ctr" rotWithShape="0">
              <a:srgbClr val="000000">
                <a:alpha val="43137"/>
              </a:srgbClr>
            </a:outerShdw>
          </a:effectLst>
        </c:spPr>
      </c:pivotFmt>
      <c:pivotFmt>
        <c:idx val="9"/>
        <c:spPr>
          <a:solidFill>
            <a:schemeClr val="tx2"/>
          </a:solidFill>
          <a:ln>
            <a:noFill/>
          </a:ln>
          <a:effectLst>
            <a:outerShdw blurRad="50800" dist="177800" dir="5400000" algn="ctr" rotWithShape="0">
              <a:srgbClr val="000000">
                <a:alpha val="43137"/>
              </a:srgbClr>
            </a:outerShdw>
          </a:effectLst>
        </c:spPr>
      </c:pivotFmt>
      <c:pivotFmt>
        <c:idx val="10"/>
        <c:spPr>
          <a:solidFill>
            <a:schemeClr val="tx2"/>
          </a:solidFill>
          <a:ln>
            <a:noFill/>
          </a:ln>
          <a:effectLst>
            <a:outerShdw blurRad="50800" dist="76200" dir="5400000" algn="ctr" rotWithShape="0">
              <a:srgbClr val="000000">
                <a:alpha val="43137"/>
              </a:srgbClr>
            </a:outerShdw>
          </a:effectLst>
        </c:spPr>
      </c:pivotFmt>
      <c:pivotFmt>
        <c:idx val="11"/>
        <c:spPr>
          <a:solidFill>
            <a:schemeClr val="tx2"/>
          </a:solidFill>
          <a:ln>
            <a:noFill/>
          </a:ln>
          <a:effectLst>
            <a:outerShdw blurRad="50800" dist="127000" dir="5400000" algn="ctr" rotWithShape="0">
              <a:srgbClr val="000000">
                <a:alpha val="43137"/>
              </a:srgbClr>
            </a:outerShdw>
          </a:effectLst>
        </c:spPr>
      </c:pivotFmt>
      <c:pivotFmt>
        <c:idx val="12"/>
        <c:spPr>
          <a:solidFill>
            <a:schemeClr val="tx2"/>
          </a:solidFill>
          <a:ln>
            <a:noFill/>
          </a:ln>
          <a:effectLst>
            <a:outerShdw blurRad="50800" dist="50800" dir="5400000" algn="ctr" rotWithShape="0">
              <a:srgbClr val="000000">
                <a:alpha val="43137"/>
              </a:srgbClr>
            </a:outerShdw>
          </a:effectLst>
        </c:spPr>
      </c:pivotFmt>
      <c:pivotFmt>
        <c:idx val="13"/>
        <c:spPr>
          <a:solidFill>
            <a:schemeClr val="tx2"/>
          </a:solidFill>
          <a:ln>
            <a:noFill/>
          </a:ln>
          <a:effectLst>
            <a:outerShdw blurRad="50800" dist="88900" dir="5400000" algn="ctr" rotWithShape="0">
              <a:srgbClr val="000000">
                <a:alpha val="43137"/>
              </a:srgbClr>
            </a:outerShdw>
          </a:effectLst>
        </c:spPr>
      </c:pivotFmt>
      <c:pivotFmt>
        <c:idx val="14"/>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13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solidFill>
          <a:ln>
            <a:noFill/>
          </a:ln>
          <a:effectLst>
            <a:outerShdw blurRad="50800" dist="114300" dir="5400000" algn="ctr" rotWithShape="0">
              <a:srgbClr val="000000">
                <a:alpha val="43137"/>
              </a:srgbClr>
            </a:outerShdw>
          </a:effectLst>
        </c:spPr>
      </c:pivotFmt>
      <c:pivotFmt>
        <c:idx val="16"/>
        <c:spPr>
          <a:solidFill>
            <a:schemeClr val="tx2"/>
          </a:solidFill>
          <a:ln>
            <a:noFill/>
          </a:ln>
          <a:effectLst>
            <a:outerShdw blurRad="50800" dist="177800" dir="5400000" algn="ctr" rotWithShape="0">
              <a:srgbClr val="000000">
                <a:alpha val="43137"/>
              </a:srgbClr>
            </a:outerShdw>
          </a:effectLst>
        </c:spPr>
      </c:pivotFmt>
      <c:pivotFmt>
        <c:idx val="17"/>
        <c:spPr>
          <a:solidFill>
            <a:schemeClr val="tx2"/>
          </a:solidFill>
          <a:ln>
            <a:noFill/>
          </a:ln>
          <a:effectLst>
            <a:outerShdw blurRad="50800" dist="76200" dir="5400000" algn="ctr" rotWithShape="0">
              <a:srgbClr val="000000">
                <a:alpha val="43137"/>
              </a:srgbClr>
            </a:outerShdw>
          </a:effectLst>
        </c:spPr>
      </c:pivotFmt>
      <c:pivotFmt>
        <c:idx val="18"/>
        <c:spPr>
          <a:solidFill>
            <a:schemeClr val="tx2"/>
          </a:solidFill>
          <a:ln>
            <a:noFill/>
          </a:ln>
          <a:effectLst>
            <a:outerShdw blurRad="50800" dist="127000" dir="5400000" algn="ctr" rotWithShape="0">
              <a:srgbClr val="000000">
                <a:alpha val="43137"/>
              </a:srgbClr>
            </a:outerShdw>
          </a:effectLst>
        </c:spPr>
      </c:pivotFmt>
      <c:pivotFmt>
        <c:idx val="19"/>
        <c:spPr>
          <a:solidFill>
            <a:schemeClr val="tx2"/>
          </a:solidFill>
          <a:ln>
            <a:noFill/>
          </a:ln>
          <a:effectLst>
            <a:outerShdw blurRad="50800" dist="50800" dir="5400000" algn="ctr" rotWithShape="0">
              <a:srgbClr val="000000">
                <a:alpha val="43137"/>
              </a:srgbClr>
            </a:outerShdw>
          </a:effectLst>
        </c:spPr>
      </c:pivotFmt>
      <c:pivotFmt>
        <c:idx val="20"/>
        <c:spPr>
          <a:solidFill>
            <a:schemeClr val="tx2"/>
          </a:solidFill>
          <a:ln>
            <a:noFill/>
          </a:ln>
          <a:effectLst>
            <a:outerShdw blurRad="50800" dist="88900" dir="5400000" algn="ctr" rotWithShape="0">
              <a:srgbClr val="000000">
                <a:alpha val="43137"/>
              </a:srgbClr>
            </a:outerShdw>
          </a:effectLst>
        </c:spPr>
      </c:pivotFmt>
    </c:pivotFmts>
    <c:plotArea>
      <c:layout>
        <c:manualLayout>
          <c:layoutTarget val="inner"/>
          <c:xMode val="edge"/>
          <c:yMode val="edge"/>
          <c:x val="0.13257240228869099"/>
          <c:y val="9.5151921796969768E-2"/>
          <c:w val="0.79395312881976332"/>
          <c:h val="0.84735573947163001"/>
        </c:manualLayout>
      </c:layout>
      <c:barChart>
        <c:barDir val="bar"/>
        <c:grouping val="clustered"/>
        <c:varyColors val="0"/>
        <c:ser>
          <c:idx val="0"/>
          <c:order val="0"/>
          <c:tx>
            <c:strRef>
              <c:f>'Pivot Table'!$B$12</c:f>
              <c:strCache>
                <c:ptCount val="1"/>
                <c:pt idx="0">
                  <c:v>Total</c:v>
                </c:pt>
              </c:strCache>
            </c:strRef>
          </c:tx>
          <c:spPr>
            <a:solidFill>
              <a:schemeClr val="tx2"/>
            </a:solidFill>
            <a:ln>
              <a:noFill/>
            </a:ln>
            <a:effectLst/>
          </c:spPr>
          <c:invertIfNegative val="0"/>
          <c:dPt>
            <c:idx val="0"/>
            <c:invertIfNegative val="0"/>
            <c:bubble3D val="0"/>
            <c:spPr>
              <a:solidFill>
                <a:schemeClr val="tx2"/>
              </a:solidFill>
              <a:ln>
                <a:noFill/>
              </a:ln>
              <a:effectLst>
                <a:outerShdw blurRad="50800" dist="114300" dir="5400000" algn="ctr" rotWithShape="0">
                  <a:srgbClr val="000000">
                    <a:alpha val="43137"/>
                  </a:srgbClr>
                </a:outerShdw>
              </a:effectLst>
            </c:spPr>
            <c:extLst>
              <c:ext xmlns:c16="http://schemas.microsoft.com/office/drawing/2014/chart" uri="{C3380CC4-5D6E-409C-BE32-E72D297353CC}">
                <c16:uniqueId val="{00000001-B3E5-4AD0-81D3-598F956A3417}"/>
              </c:ext>
            </c:extLst>
          </c:dPt>
          <c:dPt>
            <c:idx val="2"/>
            <c:invertIfNegative val="0"/>
            <c:bubble3D val="0"/>
            <c:spPr>
              <a:solidFill>
                <a:schemeClr val="tx2"/>
              </a:solidFill>
              <a:ln>
                <a:noFill/>
              </a:ln>
              <a:effectLst>
                <a:outerShdw blurRad="50800" dist="177800" dir="5400000" algn="ctr" rotWithShape="0">
                  <a:srgbClr val="000000">
                    <a:alpha val="43137"/>
                  </a:srgbClr>
                </a:outerShdw>
              </a:effectLst>
            </c:spPr>
            <c:extLst>
              <c:ext xmlns:c16="http://schemas.microsoft.com/office/drawing/2014/chart" uri="{C3380CC4-5D6E-409C-BE32-E72D297353CC}">
                <c16:uniqueId val="{00000003-B3E5-4AD0-81D3-598F956A3417}"/>
              </c:ext>
            </c:extLst>
          </c:dPt>
          <c:dPt>
            <c:idx val="3"/>
            <c:invertIfNegative val="0"/>
            <c:bubble3D val="0"/>
            <c:spPr>
              <a:solidFill>
                <a:schemeClr val="tx2"/>
              </a:solidFill>
              <a:ln>
                <a:noFill/>
              </a:ln>
              <a:effectLst>
                <a:outerShdw blurRad="50800" dist="76200" dir="5400000" algn="ctr" rotWithShape="0">
                  <a:srgbClr val="000000">
                    <a:alpha val="43137"/>
                  </a:srgbClr>
                </a:outerShdw>
              </a:effectLst>
            </c:spPr>
            <c:extLst>
              <c:ext xmlns:c16="http://schemas.microsoft.com/office/drawing/2014/chart" uri="{C3380CC4-5D6E-409C-BE32-E72D297353CC}">
                <c16:uniqueId val="{00000005-B3E5-4AD0-81D3-598F956A3417}"/>
              </c:ext>
            </c:extLst>
          </c:dPt>
          <c:dPt>
            <c:idx val="5"/>
            <c:invertIfNegative val="0"/>
            <c:bubble3D val="0"/>
            <c:spPr>
              <a:solidFill>
                <a:schemeClr val="tx2"/>
              </a:solidFill>
              <a:ln>
                <a:noFill/>
              </a:ln>
              <a:effectLst>
                <a:outerShdw blurRad="50800" dist="127000" dir="5400000" algn="ctr" rotWithShape="0">
                  <a:srgbClr val="000000">
                    <a:alpha val="43137"/>
                  </a:srgbClr>
                </a:outerShdw>
              </a:effectLst>
            </c:spPr>
            <c:extLst>
              <c:ext xmlns:c16="http://schemas.microsoft.com/office/drawing/2014/chart" uri="{C3380CC4-5D6E-409C-BE32-E72D297353CC}">
                <c16:uniqueId val="{00000007-B3E5-4AD0-81D3-598F956A3417}"/>
              </c:ext>
            </c:extLst>
          </c:dPt>
          <c:dPt>
            <c:idx val="6"/>
            <c:invertIfNegative val="0"/>
            <c:bubble3D val="0"/>
            <c:spPr>
              <a:solidFill>
                <a:schemeClr val="tx2"/>
              </a:solidFill>
              <a:ln>
                <a:noFill/>
              </a:ln>
              <a:effectLst>
                <a:outerShdw blurRad="50800" dist="50800" dir="5400000" algn="ctr" rotWithShape="0">
                  <a:srgbClr val="000000">
                    <a:alpha val="43137"/>
                  </a:srgbClr>
                </a:outerShdw>
              </a:effectLst>
            </c:spPr>
            <c:extLst>
              <c:ext xmlns:c16="http://schemas.microsoft.com/office/drawing/2014/chart" uri="{C3380CC4-5D6E-409C-BE32-E72D297353CC}">
                <c16:uniqueId val="{00000009-B3E5-4AD0-81D3-598F956A3417}"/>
              </c:ext>
            </c:extLst>
          </c:dPt>
          <c:dPt>
            <c:idx val="7"/>
            <c:invertIfNegative val="0"/>
            <c:bubble3D val="0"/>
            <c:spPr>
              <a:solidFill>
                <a:schemeClr val="tx2"/>
              </a:solidFill>
              <a:ln>
                <a:noFill/>
              </a:ln>
              <a:effectLst>
                <a:outerShdw blurRad="50800" dist="88900" dir="5400000" algn="ctr" rotWithShape="0">
                  <a:srgbClr val="000000">
                    <a:alpha val="43137"/>
                  </a:srgbClr>
                </a:outerShdw>
              </a:effectLst>
            </c:spPr>
            <c:extLst>
              <c:ext xmlns:c16="http://schemas.microsoft.com/office/drawing/2014/chart" uri="{C3380CC4-5D6E-409C-BE32-E72D297353CC}">
                <c16:uniqueId val="{0000000B-B3E5-4AD0-81D3-598F956A3417}"/>
              </c:ext>
            </c:extLst>
          </c:dPt>
          <c:dLbls>
            <c:spPr>
              <a:noFill/>
              <a:ln>
                <a:noFill/>
              </a:ln>
              <a:effectLst/>
            </c:spPr>
            <c:txPr>
              <a:bodyPr rot="0" spcFirstLastPara="1" vertOverflow="ellipsis" vert="horz" wrap="square" anchor="ctr" anchorCtr="1"/>
              <a:lstStyle/>
              <a:p>
                <a:pPr>
                  <a:defRPr sz="113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Table'!$A$13:$A$21</c:f>
              <c:strCache>
                <c:ptCount val="8"/>
                <c:pt idx="0">
                  <c:v>Australia</c:v>
                </c:pt>
                <c:pt idx="1">
                  <c:v>Canada</c:v>
                </c:pt>
                <c:pt idx="2">
                  <c:v>India</c:v>
                </c:pt>
                <c:pt idx="3">
                  <c:v>Malaysia</c:v>
                </c:pt>
                <c:pt idx="4">
                  <c:v>Singapore</c:v>
                </c:pt>
                <c:pt idx="5">
                  <c:v>UAE</c:v>
                </c:pt>
                <c:pt idx="6">
                  <c:v>UK</c:v>
                </c:pt>
                <c:pt idx="7">
                  <c:v>USA</c:v>
                </c:pt>
              </c:strCache>
            </c:strRef>
          </c:cat>
          <c:val>
            <c:numRef>
              <c:f>'Pivot Table'!$B$13:$B$21</c:f>
              <c:numCache>
                <c:formatCode>"₹"\ #,##0.00</c:formatCode>
                <c:ptCount val="8"/>
                <c:pt idx="0">
                  <c:v>48000</c:v>
                </c:pt>
                <c:pt idx="1">
                  <c:v>0</c:v>
                </c:pt>
                <c:pt idx="2">
                  <c:v>130400</c:v>
                </c:pt>
                <c:pt idx="3">
                  <c:v>8800</c:v>
                </c:pt>
                <c:pt idx="4">
                  <c:v>0</c:v>
                </c:pt>
                <c:pt idx="5">
                  <c:v>48000</c:v>
                </c:pt>
                <c:pt idx="6">
                  <c:v>43000</c:v>
                </c:pt>
                <c:pt idx="7">
                  <c:v>36000</c:v>
                </c:pt>
              </c:numCache>
            </c:numRef>
          </c:val>
          <c:extLst>
            <c:ext xmlns:c16="http://schemas.microsoft.com/office/drawing/2014/chart" uri="{C3380CC4-5D6E-409C-BE32-E72D297353CC}">
              <c16:uniqueId val="{0000000C-B3E5-4AD0-81D3-598F956A3417}"/>
            </c:ext>
          </c:extLst>
        </c:ser>
        <c:dLbls>
          <c:dLblPos val="outEnd"/>
          <c:showLegendKey val="0"/>
          <c:showVal val="1"/>
          <c:showCatName val="0"/>
          <c:showSerName val="0"/>
          <c:showPercent val="0"/>
          <c:showBubbleSize val="0"/>
        </c:dLbls>
        <c:gapWidth val="74"/>
        <c:overlap val="-80"/>
        <c:axId val="1256825071"/>
        <c:axId val="1316438767"/>
      </c:barChart>
      <c:catAx>
        <c:axId val="125682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1316438767"/>
        <c:crosses val="autoZero"/>
        <c:auto val="1"/>
        <c:lblAlgn val="ctr"/>
        <c:lblOffset val="100"/>
        <c:noMultiLvlLbl val="0"/>
      </c:catAx>
      <c:valAx>
        <c:axId val="1316438767"/>
        <c:scaling>
          <c:orientation val="minMax"/>
        </c:scaling>
        <c:delete val="1"/>
        <c:axPos val="b"/>
        <c:numFmt formatCode="&quot;₹&quot;\ #,##0.00" sourceLinked="1"/>
        <c:majorTickMark val="none"/>
        <c:minorTickMark val="none"/>
        <c:tickLblPos val="nextTo"/>
        <c:crossAx val="1256825071"/>
        <c:crosses val="autoZero"/>
        <c:crossBetween val="between"/>
      </c:valAx>
      <c:spPr>
        <a:noFill/>
        <a:ln>
          <a:noFill/>
        </a:ln>
        <a:effectLst>
          <a:outerShdw blurRad="50800" dist="50800" dir="5400000" sx="32000" sy="32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aseline="0">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DASHBOARD.xlsx]Pivot Table!PivotTable3</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a:sp3d/>
        </c:spPr>
        <c:dLbl>
          <c:idx val="0"/>
          <c:layout>
            <c:manualLayout>
              <c:x val="0.21449983090379221"/>
              <c:y val="-1.43563170055662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a:sp3d/>
        </c:spPr>
        <c:dLbl>
          <c:idx val="0"/>
          <c:layout>
            <c:manualLayout>
              <c:x val="0.47947021025553599"/>
              <c:y val="-1.4356317005566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a:sp3d/>
        </c:spPr>
        <c:dLbl>
          <c:idx val="0"/>
          <c:layout>
            <c:manualLayout>
              <c:x val="0.33310561975647773"/>
              <c:y val="-2.392719500927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solidFill>
          <a:ln>
            <a:noFill/>
          </a:ln>
          <a:effectLst/>
          <a:sp3d/>
        </c:spPr>
        <c:dLbl>
          <c:idx val="0"/>
          <c:layout>
            <c:manualLayout>
              <c:x val="0.33310561975647773"/>
              <c:y val="-2.392719500927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solidFill>
          <a:ln>
            <a:noFill/>
          </a:ln>
          <a:effectLst/>
          <a:sp3d/>
        </c:spPr>
        <c:dLbl>
          <c:idx val="0"/>
          <c:layout>
            <c:manualLayout>
              <c:x val="0.47947021025553599"/>
              <c:y val="-1.4356317005566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solidFill>
          <a:ln>
            <a:noFill/>
          </a:ln>
          <a:effectLst/>
          <a:sp3d/>
        </c:spPr>
        <c:dLbl>
          <c:idx val="0"/>
          <c:layout>
            <c:manualLayout>
              <c:x val="0.21449983090379221"/>
              <c:y val="-1.43563170055662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90000"/>
              <a:lumOff val="1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solidFill>
          <a:ln>
            <a:noFill/>
          </a:ln>
          <a:effectLst/>
          <a:sp3d/>
        </c:spPr>
        <c:dLbl>
          <c:idx val="0"/>
          <c:layout>
            <c:manualLayout>
              <c:x val="0.33310561975647773"/>
              <c:y val="-2.392719500927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solidFill>
          <a:ln>
            <a:noFill/>
          </a:ln>
          <a:effectLst/>
          <a:sp3d/>
        </c:spPr>
        <c:dLbl>
          <c:idx val="0"/>
          <c:layout>
            <c:manualLayout>
              <c:x val="0.47947021025553599"/>
              <c:y val="-1.4356317005566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solidFill>
          <a:ln>
            <a:noFill/>
          </a:ln>
          <a:effectLst/>
          <a:sp3d/>
        </c:spPr>
        <c:dLbl>
          <c:idx val="0"/>
          <c:layout>
            <c:manualLayout>
              <c:x val="0.21449983090379221"/>
              <c:y val="-1.43563170055662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09990505158435"/>
          <c:y val="9.9792183806201862E-2"/>
          <c:w val="0.81217928858025867"/>
          <c:h val="0.89545580744112185"/>
        </c:manualLayout>
      </c:layout>
      <c:bar3DChart>
        <c:barDir val="bar"/>
        <c:grouping val="clustered"/>
        <c:varyColors val="0"/>
        <c:ser>
          <c:idx val="0"/>
          <c:order val="0"/>
          <c:tx>
            <c:strRef>
              <c:f>'Pivot Table'!$H$3:$H$4</c:f>
              <c:strCache>
                <c:ptCount val="1"/>
                <c:pt idx="0">
                  <c:v>Deluxe</c:v>
                </c:pt>
              </c:strCache>
            </c:strRef>
          </c:tx>
          <c:spPr>
            <a:solidFill>
              <a:schemeClr val="accent1"/>
            </a:solidFill>
            <a:ln>
              <a:noFill/>
            </a:ln>
            <a:effectLst/>
            <a:sp3d/>
          </c:spPr>
          <c:invertIfNegative val="0"/>
          <c:cat>
            <c:strRef>
              <c:f>'Pivot Table'!$G$5:$G$9</c:f>
              <c:strCache>
                <c:ptCount val="4"/>
                <c:pt idx="0">
                  <c:v>Corporate</c:v>
                </c:pt>
                <c:pt idx="1">
                  <c:v>Couple</c:v>
                </c:pt>
                <c:pt idx="2">
                  <c:v>Family</c:v>
                </c:pt>
                <c:pt idx="3">
                  <c:v>Individual</c:v>
                </c:pt>
              </c:strCache>
            </c:strRef>
          </c:cat>
          <c:val>
            <c:numRef>
              <c:f>'Pivot Table'!$H$5:$H$9</c:f>
              <c:numCache>
                <c:formatCode>General</c:formatCode>
                <c:ptCount val="4"/>
                <c:pt idx="1">
                  <c:v>1</c:v>
                </c:pt>
                <c:pt idx="2">
                  <c:v>1</c:v>
                </c:pt>
                <c:pt idx="3">
                  <c:v>2</c:v>
                </c:pt>
              </c:numCache>
            </c:numRef>
          </c:val>
          <c:extLst>
            <c:ext xmlns:c16="http://schemas.microsoft.com/office/drawing/2014/chart" uri="{C3380CC4-5D6E-409C-BE32-E72D297353CC}">
              <c16:uniqueId val="{00000000-6861-45EA-811F-D49D05345AC9}"/>
            </c:ext>
          </c:extLst>
        </c:ser>
        <c:ser>
          <c:idx val="1"/>
          <c:order val="1"/>
          <c:tx>
            <c:strRef>
              <c:f>'Pivot Table'!$I$3:$I$4</c:f>
              <c:strCache>
                <c:ptCount val="1"/>
                <c:pt idx="0">
                  <c:v>Executive</c:v>
                </c:pt>
              </c:strCache>
            </c:strRef>
          </c:tx>
          <c:spPr>
            <a:solidFill>
              <a:schemeClr val="tx2">
                <a:lumMod val="90000"/>
                <a:lumOff val="10000"/>
              </a:schemeClr>
            </a:solidFill>
            <a:ln>
              <a:noFill/>
            </a:ln>
            <a:effectLst/>
            <a:sp3d/>
          </c:spPr>
          <c:invertIfNegative val="0"/>
          <c:cat>
            <c:strRef>
              <c:f>'Pivot Table'!$G$5:$G$9</c:f>
              <c:strCache>
                <c:ptCount val="4"/>
                <c:pt idx="0">
                  <c:v>Corporate</c:v>
                </c:pt>
                <c:pt idx="1">
                  <c:v>Couple</c:v>
                </c:pt>
                <c:pt idx="2">
                  <c:v>Family</c:v>
                </c:pt>
                <c:pt idx="3">
                  <c:v>Individual</c:v>
                </c:pt>
              </c:strCache>
            </c:strRef>
          </c:cat>
          <c:val>
            <c:numRef>
              <c:f>'Pivot Table'!$I$5:$I$9</c:f>
              <c:numCache>
                <c:formatCode>General</c:formatCode>
                <c:ptCount val="4"/>
                <c:pt idx="0">
                  <c:v>3</c:v>
                </c:pt>
              </c:numCache>
            </c:numRef>
          </c:val>
          <c:extLst>
            <c:ext xmlns:c16="http://schemas.microsoft.com/office/drawing/2014/chart" uri="{C3380CC4-5D6E-409C-BE32-E72D297353CC}">
              <c16:uniqueId val="{00000001-6861-45EA-811F-D49D05345AC9}"/>
            </c:ext>
          </c:extLst>
        </c:ser>
        <c:ser>
          <c:idx val="2"/>
          <c:order val="2"/>
          <c:tx>
            <c:strRef>
              <c:f>'Pivot Table'!$J$3:$J$4</c:f>
              <c:strCache>
                <c:ptCount val="1"/>
                <c:pt idx="0">
                  <c:v>Standard</c:v>
                </c:pt>
              </c:strCache>
            </c:strRef>
          </c:tx>
          <c:spPr>
            <a:solidFill>
              <a:schemeClr val="tx2"/>
            </a:solidFill>
            <a:ln>
              <a:noFill/>
            </a:ln>
            <a:effectLst/>
            <a:sp3d/>
          </c:spPr>
          <c:invertIfNegative val="0"/>
          <c:dPt>
            <c:idx val="1"/>
            <c:invertIfNegative val="0"/>
            <c:bubble3D val="0"/>
            <c:spPr>
              <a:solidFill>
                <a:schemeClr val="tx2"/>
              </a:solidFill>
              <a:ln>
                <a:noFill/>
              </a:ln>
              <a:effectLst/>
              <a:sp3d/>
            </c:spPr>
            <c:extLst>
              <c:ext xmlns:c16="http://schemas.microsoft.com/office/drawing/2014/chart" uri="{C3380CC4-5D6E-409C-BE32-E72D297353CC}">
                <c16:uniqueId val="{00000003-6861-45EA-811F-D49D05345AC9}"/>
              </c:ext>
            </c:extLst>
          </c:dPt>
          <c:dPt>
            <c:idx val="2"/>
            <c:invertIfNegative val="0"/>
            <c:bubble3D val="0"/>
            <c:spPr>
              <a:solidFill>
                <a:schemeClr val="tx2"/>
              </a:solidFill>
              <a:ln>
                <a:noFill/>
              </a:ln>
              <a:effectLst/>
              <a:sp3d/>
            </c:spPr>
            <c:extLst>
              <c:ext xmlns:c16="http://schemas.microsoft.com/office/drawing/2014/chart" uri="{C3380CC4-5D6E-409C-BE32-E72D297353CC}">
                <c16:uniqueId val="{00000005-6861-45EA-811F-D49D05345AC9}"/>
              </c:ext>
            </c:extLst>
          </c:dPt>
          <c:dPt>
            <c:idx val="3"/>
            <c:invertIfNegative val="0"/>
            <c:bubble3D val="0"/>
            <c:spPr>
              <a:solidFill>
                <a:schemeClr val="tx2"/>
              </a:solidFill>
              <a:ln>
                <a:noFill/>
              </a:ln>
              <a:effectLst/>
              <a:sp3d/>
            </c:spPr>
            <c:extLst>
              <c:ext xmlns:c16="http://schemas.microsoft.com/office/drawing/2014/chart" uri="{C3380CC4-5D6E-409C-BE32-E72D297353CC}">
                <c16:uniqueId val="{00000007-6861-45EA-811F-D49D05345AC9}"/>
              </c:ext>
            </c:extLst>
          </c:dPt>
          <c:dLbls>
            <c:dLbl>
              <c:idx val="1"/>
              <c:layout>
                <c:manualLayout>
                  <c:x val="0.33310561975647773"/>
                  <c:y val="-2.392719500927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61-45EA-811F-D49D05345AC9}"/>
                </c:ext>
              </c:extLst>
            </c:dLbl>
            <c:dLbl>
              <c:idx val="2"/>
              <c:layout>
                <c:manualLayout>
                  <c:x val="0.47947021025553599"/>
                  <c:y val="-1.4356317005566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61-45EA-811F-D49D05345AC9}"/>
                </c:ext>
              </c:extLst>
            </c:dLbl>
            <c:dLbl>
              <c:idx val="3"/>
              <c:layout>
                <c:manualLayout>
                  <c:x val="0.21449983090379221"/>
                  <c:y val="-1.43563170055662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61-45EA-811F-D49D05345AC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Table'!$G$5:$G$9</c:f>
              <c:strCache>
                <c:ptCount val="4"/>
                <c:pt idx="0">
                  <c:v>Corporate</c:v>
                </c:pt>
                <c:pt idx="1">
                  <c:v>Couple</c:v>
                </c:pt>
                <c:pt idx="2">
                  <c:v>Family</c:v>
                </c:pt>
                <c:pt idx="3">
                  <c:v>Individual</c:v>
                </c:pt>
              </c:strCache>
            </c:strRef>
          </c:cat>
          <c:val>
            <c:numRef>
              <c:f>'Pivot Table'!$J$5:$J$9</c:f>
              <c:numCache>
                <c:formatCode>General</c:formatCode>
                <c:ptCount val="4"/>
                <c:pt idx="1">
                  <c:v>1</c:v>
                </c:pt>
                <c:pt idx="2">
                  <c:v>2</c:v>
                </c:pt>
                <c:pt idx="3">
                  <c:v>2</c:v>
                </c:pt>
              </c:numCache>
            </c:numRef>
          </c:val>
          <c:extLst>
            <c:ext xmlns:c16="http://schemas.microsoft.com/office/drawing/2014/chart" uri="{C3380CC4-5D6E-409C-BE32-E72D297353CC}">
              <c16:uniqueId val="{00000008-6861-45EA-811F-D49D05345AC9}"/>
            </c:ext>
          </c:extLst>
        </c:ser>
        <c:ser>
          <c:idx val="3"/>
          <c:order val="3"/>
          <c:tx>
            <c:strRef>
              <c:f>'Pivot Table'!$K$3:$K$4</c:f>
              <c:strCache>
                <c:ptCount val="1"/>
                <c:pt idx="0">
                  <c:v>Suite</c:v>
                </c:pt>
              </c:strCache>
            </c:strRef>
          </c:tx>
          <c:spPr>
            <a:solidFill>
              <a:schemeClr val="accent4"/>
            </a:solidFill>
            <a:ln>
              <a:noFill/>
            </a:ln>
            <a:effectLst/>
            <a:sp3d/>
          </c:spPr>
          <c:invertIfNegative val="0"/>
          <c:cat>
            <c:strRef>
              <c:f>'Pivot Table'!$G$5:$G$9</c:f>
              <c:strCache>
                <c:ptCount val="4"/>
                <c:pt idx="0">
                  <c:v>Corporate</c:v>
                </c:pt>
                <c:pt idx="1">
                  <c:v>Couple</c:v>
                </c:pt>
                <c:pt idx="2">
                  <c:v>Family</c:v>
                </c:pt>
                <c:pt idx="3">
                  <c:v>Individual</c:v>
                </c:pt>
              </c:strCache>
            </c:strRef>
          </c:cat>
          <c:val>
            <c:numRef>
              <c:f>'Pivot Table'!$K$5:$K$9</c:f>
              <c:numCache>
                <c:formatCode>General</c:formatCode>
                <c:ptCount val="4"/>
                <c:pt idx="1">
                  <c:v>1</c:v>
                </c:pt>
                <c:pt idx="2">
                  <c:v>2</c:v>
                </c:pt>
              </c:numCache>
            </c:numRef>
          </c:val>
          <c:extLst>
            <c:ext xmlns:c16="http://schemas.microsoft.com/office/drawing/2014/chart" uri="{C3380CC4-5D6E-409C-BE32-E72D297353CC}">
              <c16:uniqueId val="{00000009-6861-45EA-811F-D49D05345AC9}"/>
            </c:ext>
          </c:extLst>
        </c:ser>
        <c:dLbls>
          <c:showLegendKey val="0"/>
          <c:showVal val="0"/>
          <c:showCatName val="0"/>
          <c:showSerName val="0"/>
          <c:showPercent val="0"/>
          <c:showBubbleSize val="0"/>
        </c:dLbls>
        <c:gapWidth val="85"/>
        <c:shape val="box"/>
        <c:axId val="1308462591"/>
        <c:axId val="1316473327"/>
        <c:axId val="0"/>
      </c:bar3DChart>
      <c:catAx>
        <c:axId val="1308462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1316473327"/>
        <c:crosses val="autoZero"/>
        <c:auto val="1"/>
        <c:lblAlgn val="ctr"/>
        <c:lblOffset val="100"/>
        <c:noMultiLvlLbl val="0"/>
      </c:catAx>
      <c:valAx>
        <c:axId val="1316473327"/>
        <c:scaling>
          <c:orientation val="minMax"/>
        </c:scaling>
        <c:delete val="1"/>
        <c:axPos val="b"/>
        <c:numFmt formatCode="General" sourceLinked="1"/>
        <c:majorTickMark val="none"/>
        <c:minorTickMark val="none"/>
        <c:tickLblPos val="nextTo"/>
        <c:crossAx val="130846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hyperlink" Target="https://freepngimg.com/png/33386-hotel-clipart" TargetMode="Externa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125329</xdr:colOff>
      <xdr:row>4</xdr:row>
      <xdr:rowOff>85724</xdr:rowOff>
    </xdr:to>
    <xdr:sp macro="" textlink="">
      <xdr:nvSpPr>
        <xdr:cNvPr id="2" name="Rectangle: Rounded Corners 1">
          <a:extLst>
            <a:ext uri="{FF2B5EF4-FFF2-40B4-BE49-F238E27FC236}">
              <a16:creationId xmlns:a16="http://schemas.microsoft.com/office/drawing/2014/main" id="{77EE9C2E-C614-0622-FB8F-C3F63409C1A0}"/>
            </a:ext>
          </a:extLst>
        </xdr:cNvPr>
        <xdr:cNvSpPr/>
      </xdr:nvSpPr>
      <xdr:spPr>
        <a:xfrm>
          <a:off x="0" y="0"/>
          <a:ext cx="11179342" cy="837698"/>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152398</xdr:rowOff>
    </xdr:from>
    <xdr:to>
      <xdr:col>4</xdr:col>
      <xdr:colOff>209550</xdr:colOff>
      <xdr:row>9</xdr:row>
      <xdr:rowOff>120823</xdr:rowOff>
    </xdr:to>
    <xdr:sp macro="" textlink="Dashboard!$N$2">
      <xdr:nvSpPr>
        <xdr:cNvPr id="3" name="Rectangle: Rounded Corners 2">
          <a:extLst>
            <a:ext uri="{FF2B5EF4-FFF2-40B4-BE49-F238E27FC236}">
              <a16:creationId xmlns:a16="http://schemas.microsoft.com/office/drawing/2014/main" id="{5DE2F09D-4923-4820-9E79-A6A9E5D36570}"/>
            </a:ext>
          </a:extLst>
        </xdr:cNvPr>
        <xdr:cNvSpPr/>
      </xdr:nvSpPr>
      <xdr:spPr>
        <a:xfrm>
          <a:off x="0" y="906461"/>
          <a:ext cx="2630488" cy="911003"/>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4CC99FB-9F08-48C4-8ADE-6E7CE3BA3AE3}" type="TxLink">
            <a:rPr lang="en-US" sz="1100" b="0" i="0" u="none" strike="noStrike">
              <a:solidFill>
                <a:srgbClr val="000000"/>
              </a:solidFill>
              <a:latin typeface="Aptos Narrow"/>
            </a:rPr>
            <a:pPr algn="l"/>
            <a:t> </a:t>
          </a:fld>
          <a:endParaRPr lang="en-IN" sz="1100"/>
        </a:p>
      </xdr:txBody>
    </xdr:sp>
    <xdr:clientData/>
  </xdr:twoCellAnchor>
  <xdr:twoCellAnchor>
    <xdr:from>
      <xdr:col>0</xdr:col>
      <xdr:colOff>9525</xdr:colOff>
      <xdr:row>4</xdr:row>
      <xdr:rowOff>133350</xdr:rowOff>
    </xdr:from>
    <xdr:to>
      <xdr:col>1</xdr:col>
      <xdr:colOff>123825</xdr:colOff>
      <xdr:row>9</xdr:row>
      <xdr:rowOff>142875</xdr:rowOff>
    </xdr:to>
    <xdr:sp macro="" textlink="">
      <xdr:nvSpPr>
        <xdr:cNvPr id="4" name="Rectangle: Rounded Corners 3">
          <a:extLst>
            <a:ext uri="{FF2B5EF4-FFF2-40B4-BE49-F238E27FC236}">
              <a16:creationId xmlns:a16="http://schemas.microsoft.com/office/drawing/2014/main" id="{5B15AB2C-608C-4998-A902-733616D53F8C}"/>
            </a:ext>
          </a:extLst>
        </xdr:cNvPr>
        <xdr:cNvSpPr/>
      </xdr:nvSpPr>
      <xdr:spPr>
        <a:xfrm>
          <a:off x="9525" y="895350"/>
          <a:ext cx="723900" cy="962025"/>
        </a:xfrm>
        <a:prstGeom prst="round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238124</xdr:colOff>
      <xdr:row>5</xdr:row>
      <xdr:rowOff>104775</xdr:rowOff>
    </xdr:from>
    <xdr:to>
      <xdr:col>3</xdr:col>
      <xdr:colOff>247649</xdr:colOff>
      <xdr:row>6</xdr:row>
      <xdr:rowOff>152400</xdr:rowOff>
    </xdr:to>
    <xdr:sp macro="" textlink="">
      <xdr:nvSpPr>
        <xdr:cNvPr id="5" name="TextBox 4">
          <a:extLst>
            <a:ext uri="{FF2B5EF4-FFF2-40B4-BE49-F238E27FC236}">
              <a16:creationId xmlns:a16="http://schemas.microsoft.com/office/drawing/2014/main" id="{11716D21-7605-9BE9-348C-F6831A0EED64}"/>
            </a:ext>
          </a:extLst>
        </xdr:cNvPr>
        <xdr:cNvSpPr txBox="1"/>
      </xdr:nvSpPr>
      <xdr:spPr>
        <a:xfrm>
          <a:off x="847724" y="1057275"/>
          <a:ext cx="122872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tx2"/>
              </a:solidFill>
            </a:rPr>
            <a:t>TOTAL</a:t>
          </a:r>
          <a:r>
            <a:rPr lang="en-IN" sz="1100" baseline="0"/>
            <a:t> </a:t>
          </a:r>
          <a:r>
            <a:rPr lang="en-IN" sz="1150" b="1" baseline="0">
              <a:solidFill>
                <a:schemeClr val="tx2"/>
              </a:solidFill>
            </a:rPr>
            <a:t>REVENUE</a:t>
          </a:r>
        </a:p>
      </xdr:txBody>
    </xdr:sp>
    <xdr:clientData/>
  </xdr:twoCellAnchor>
  <xdr:twoCellAnchor>
    <xdr:from>
      <xdr:col>1</xdr:col>
      <xdr:colOff>495300</xdr:colOff>
      <xdr:row>7</xdr:row>
      <xdr:rowOff>47624</xdr:rowOff>
    </xdr:from>
    <xdr:to>
      <xdr:col>3</xdr:col>
      <xdr:colOff>542925</xdr:colOff>
      <xdr:row>8</xdr:row>
      <xdr:rowOff>133349</xdr:rowOff>
    </xdr:to>
    <xdr:sp macro="" textlink="'Hotel Booking '!N2">
      <xdr:nvSpPr>
        <xdr:cNvPr id="6" name="TextBox 5">
          <a:extLst>
            <a:ext uri="{FF2B5EF4-FFF2-40B4-BE49-F238E27FC236}">
              <a16:creationId xmlns:a16="http://schemas.microsoft.com/office/drawing/2014/main" id="{27C93595-C586-9108-468A-F048EEC5FF42}"/>
            </a:ext>
          </a:extLst>
        </xdr:cNvPr>
        <xdr:cNvSpPr txBox="1"/>
      </xdr:nvSpPr>
      <xdr:spPr>
        <a:xfrm>
          <a:off x="1104900" y="1381124"/>
          <a:ext cx="12668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1A380D-DAB8-49DC-87D1-B3F981A11DA3}" type="TxLink">
            <a:rPr lang="en-US" sz="1100" b="1" i="0" u="none" strike="noStrike">
              <a:solidFill>
                <a:srgbClr val="000000"/>
              </a:solidFill>
              <a:latin typeface="Aptos Narrow"/>
            </a:rPr>
            <a:pPr/>
            <a:t>314200</a:t>
          </a:fld>
          <a:endParaRPr lang="en-IN" sz="1100" b="1"/>
        </a:p>
      </xdr:txBody>
    </xdr:sp>
    <xdr:clientData/>
  </xdr:twoCellAnchor>
  <xdr:twoCellAnchor>
    <xdr:from>
      <xdr:col>4</xdr:col>
      <xdr:colOff>342900</xdr:colOff>
      <xdr:row>4</xdr:row>
      <xdr:rowOff>152400</xdr:rowOff>
    </xdr:from>
    <xdr:to>
      <xdr:col>8</xdr:col>
      <xdr:colOff>552450</xdr:colOff>
      <xdr:row>9</xdr:row>
      <xdr:rowOff>120825</xdr:rowOff>
    </xdr:to>
    <xdr:sp macro="" textlink="Dashboard!$N$2">
      <xdr:nvSpPr>
        <xdr:cNvPr id="8" name="Rectangle: Rounded Corners 7">
          <a:extLst>
            <a:ext uri="{FF2B5EF4-FFF2-40B4-BE49-F238E27FC236}">
              <a16:creationId xmlns:a16="http://schemas.microsoft.com/office/drawing/2014/main" id="{FE2349AC-8552-8345-9721-22364EB7A5EA}"/>
            </a:ext>
          </a:extLst>
        </xdr:cNvPr>
        <xdr:cNvSpPr/>
      </xdr:nvSpPr>
      <xdr:spPr>
        <a:xfrm>
          <a:off x="2781300" y="914400"/>
          <a:ext cx="2647950" cy="92092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4CC99FB-9F08-48C4-8ADE-6E7CE3BA3AE3}" type="TxLink">
            <a:rPr lang="en-US" sz="1100" b="0" i="0" u="none" strike="noStrike">
              <a:solidFill>
                <a:srgbClr val="000000"/>
              </a:solidFill>
              <a:latin typeface="Aptos Narrow"/>
            </a:rPr>
            <a:pPr algn="l"/>
            <a:t> </a:t>
          </a:fld>
          <a:endParaRPr lang="en-IN" sz="1100"/>
        </a:p>
      </xdr:txBody>
    </xdr:sp>
    <xdr:clientData/>
  </xdr:twoCellAnchor>
  <xdr:twoCellAnchor>
    <xdr:from>
      <xdr:col>4</xdr:col>
      <xdr:colOff>371475</xdr:colOff>
      <xdr:row>4</xdr:row>
      <xdr:rowOff>152400</xdr:rowOff>
    </xdr:from>
    <xdr:to>
      <xdr:col>5</xdr:col>
      <xdr:colOff>495300</xdr:colOff>
      <xdr:row>9</xdr:row>
      <xdr:rowOff>123826</xdr:rowOff>
    </xdr:to>
    <xdr:sp macro="" textlink="">
      <xdr:nvSpPr>
        <xdr:cNvPr id="9" name="Rectangle: Rounded Corners 8">
          <a:extLst>
            <a:ext uri="{FF2B5EF4-FFF2-40B4-BE49-F238E27FC236}">
              <a16:creationId xmlns:a16="http://schemas.microsoft.com/office/drawing/2014/main" id="{9F608609-243D-B53D-84A3-73AD15D4FBD2}"/>
            </a:ext>
          </a:extLst>
        </xdr:cNvPr>
        <xdr:cNvSpPr/>
      </xdr:nvSpPr>
      <xdr:spPr>
        <a:xfrm>
          <a:off x="2809875" y="914400"/>
          <a:ext cx="733425" cy="923926"/>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9525</xdr:colOff>
      <xdr:row>5</xdr:row>
      <xdr:rowOff>95250</xdr:rowOff>
    </xdr:from>
    <xdr:to>
      <xdr:col>8</xdr:col>
      <xdr:colOff>19050</xdr:colOff>
      <xdr:row>6</xdr:row>
      <xdr:rowOff>95250</xdr:rowOff>
    </xdr:to>
    <xdr:sp macro="" textlink="">
      <xdr:nvSpPr>
        <xdr:cNvPr id="10" name="TextBox 9">
          <a:extLst>
            <a:ext uri="{FF2B5EF4-FFF2-40B4-BE49-F238E27FC236}">
              <a16:creationId xmlns:a16="http://schemas.microsoft.com/office/drawing/2014/main" id="{203B1550-C1BA-64F9-FC2A-605253F21193}"/>
            </a:ext>
          </a:extLst>
        </xdr:cNvPr>
        <xdr:cNvSpPr txBox="1"/>
      </xdr:nvSpPr>
      <xdr:spPr>
        <a:xfrm>
          <a:off x="3667125" y="1047750"/>
          <a:ext cx="12287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TOTAL</a:t>
          </a:r>
          <a:r>
            <a:rPr lang="en-IN" sz="1100" b="1" baseline="0"/>
            <a:t> </a:t>
          </a:r>
          <a:r>
            <a:rPr lang="en-IN" sz="1100" b="1" baseline="0">
              <a:solidFill>
                <a:schemeClr val="tx2"/>
              </a:solidFill>
            </a:rPr>
            <a:t>BOOKINGS</a:t>
          </a:r>
        </a:p>
      </xdr:txBody>
    </xdr:sp>
    <xdr:clientData/>
  </xdr:twoCellAnchor>
  <xdr:twoCellAnchor>
    <xdr:from>
      <xdr:col>6</xdr:col>
      <xdr:colOff>457200</xdr:colOff>
      <xdr:row>7</xdr:row>
      <xdr:rowOff>38100</xdr:rowOff>
    </xdr:from>
    <xdr:to>
      <xdr:col>8</xdr:col>
      <xdr:colOff>561975</xdr:colOff>
      <xdr:row>8</xdr:row>
      <xdr:rowOff>66675</xdr:rowOff>
    </xdr:to>
    <xdr:sp macro="" textlink="'Hotel Booking '!N4">
      <xdr:nvSpPr>
        <xdr:cNvPr id="12" name="TextBox 11">
          <a:extLst>
            <a:ext uri="{FF2B5EF4-FFF2-40B4-BE49-F238E27FC236}">
              <a16:creationId xmlns:a16="http://schemas.microsoft.com/office/drawing/2014/main" id="{5A6825C5-645B-432D-E596-BCD0AC8992BE}"/>
            </a:ext>
          </a:extLst>
        </xdr:cNvPr>
        <xdr:cNvSpPr txBox="1"/>
      </xdr:nvSpPr>
      <xdr:spPr>
        <a:xfrm>
          <a:off x="4114800" y="1371600"/>
          <a:ext cx="13239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153A6F-237F-4EC7-B2F6-B5D41B01B0A2}" type="TxLink">
            <a:rPr lang="en-US" sz="1100" b="1" i="0" u="none" strike="noStrike">
              <a:solidFill>
                <a:srgbClr val="000000"/>
              </a:solidFill>
              <a:latin typeface="Aptos Narrow"/>
            </a:rPr>
            <a:pPr/>
            <a:t>15</a:t>
          </a:fld>
          <a:endParaRPr lang="en-IN" sz="1100" b="1"/>
        </a:p>
      </xdr:txBody>
    </xdr:sp>
    <xdr:clientData/>
  </xdr:twoCellAnchor>
  <xdr:twoCellAnchor>
    <xdr:from>
      <xdr:col>9</xdr:col>
      <xdr:colOff>190500</xdr:colOff>
      <xdr:row>4</xdr:row>
      <xdr:rowOff>180975</xdr:rowOff>
    </xdr:from>
    <xdr:to>
      <xdr:col>12</xdr:col>
      <xdr:colOff>571500</xdr:colOff>
      <xdr:row>9</xdr:row>
      <xdr:rowOff>123825</xdr:rowOff>
    </xdr:to>
    <xdr:sp macro="" textlink="">
      <xdr:nvSpPr>
        <xdr:cNvPr id="13" name="Rectangle: Rounded Corners 12">
          <a:extLst>
            <a:ext uri="{FF2B5EF4-FFF2-40B4-BE49-F238E27FC236}">
              <a16:creationId xmlns:a16="http://schemas.microsoft.com/office/drawing/2014/main" id="{2B741565-18D3-EE4A-737C-BD1FAB7A9808}"/>
            </a:ext>
          </a:extLst>
        </xdr:cNvPr>
        <xdr:cNvSpPr/>
      </xdr:nvSpPr>
      <xdr:spPr>
        <a:xfrm>
          <a:off x="5676900" y="942975"/>
          <a:ext cx="2209800" cy="8953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5</xdr:row>
      <xdr:rowOff>0</xdr:rowOff>
    </xdr:from>
    <xdr:to>
      <xdr:col>11</xdr:col>
      <xdr:colOff>104775</xdr:colOff>
      <xdr:row>6</xdr:row>
      <xdr:rowOff>28575</xdr:rowOff>
    </xdr:to>
    <xdr:sp macro="" textlink="'Hotel Booking '!N4">
      <xdr:nvSpPr>
        <xdr:cNvPr id="14" name="TextBox 13">
          <a:extLst>
            <a:ext uri="{FF2B5EF4-FFF2-40B4-BE49-F238E27FC236}">
              <a16:creationId xmlns:a16="http://schemas.microsoft.com/office/drawing/2014/main" id="{FD0704C5-9566-446F-B18B-FCB404B6A738}"/>
            </a:ext>
          </a:extLst>
        </xdr:cNvPr>
        <xdr:cNvSpPr txBox="1"/>
      </xdr:nvSpPr>
      <xdr:spPr>
        <a:xfrm>
          <a:off x="5486400" y="952500"/>
          <a:ext cx="13239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p>
      </xdr:txBody>
    </xdr:sp>
    <xdr:clientData/>
  </xdr:twoCellAnchor>
  <xdr:twoCellAnchor>
    <xdr:from>
      <xdr:col>9</xdr:col>
      <xdr:colOff>85725</xdr:colOff>
      <xdr:row>4</xdr:row>
      <xdr:rowOff>142875</xdr:rowOff>
    </xdr:from>
    <xdr:to>
      <xdr:col>13</xdr:col>
      <xdr:colOff>485775</xdr:colOff>
      <xdr:row>9</xdr:row>
      <xdr:rowOff>111300</xdr:rowOff>
    </xdr:to>
    <xdr:sp macro="" textlink="Dashboard!$N$2">
      <xdr:nvSpPr>
        <xdr:cNvPr id="15" name="Rectangle: Rounded Corners 14">
          <a:extLst>
            <a:ext uri="{FF2B5EF4-FFF2-40B4-BE49-F238E27FC236}">
              <a16:creationId xmlns:a16="http://schemas.microsoft.com/office/drawing/2014/main" id="{D2AA240F-85B2-42B5-8138-BFF0F775F50E}"/>
            </a:ext>
          </a:extLst>
        </xdr:cNvPr>
        <xdr:cNvSpPr/>
      </xdr:nvSpPr>
      <xdr:spPr>
        <a:xfrm>
          <a:off x="5572125" y="904875"/>
          <a:ext cx="2838450" cy="92092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4CC99FB-9F08-48C4-8ADE-6E7CE3BA3AE3}" type="TxLink">
            <a:rPr lang="en-US" sz="1100" b="0" i="0" u="none" strike="noStrike">
              <a:solidFill>
                <a:srgbClr val="000000"/>
              </a:solidFill>
              <a:latin typeface="Aptos Narrow"/>
            </a:rPr>
            <a:pPr algn="l"/>
            <a:t> </a:t>
          </a:fld>
          <a:endParaRPr lang="en-IN" sz="1100"/>
        </a:p>
      </xdr:txBody>
    </xdr:sp>
    <xdr:clientData/>
  </xdr:twoCellAnchor>
  <xdr:twoCellAnchor>
    <xdr:from>
      <xdr:col>9</xdr:col>
      <xdr:colOff>85725</xdr:colOff>
      <xdr:row>4</xdr:row>
      <xdr:rowOff>142875</xdr:rowOff>
    </xdr:from>
    <xdr:to>
      <xdr:col>10</xdr:col>
      <xdr:colOff>209550</xdr:colOff>
      <xdr:row>9</xdr:row>
      <xdr:rowOff>114301</xdr:rowOff>
    </xdr:to>
    <xdr:sp macro="" textlink="">
      <xdr:nvSpPr>
        <xdr:cNvPr id="16" name="Rectangle: Rounded Corners 15">
          <a:extLst>
            <a:ext uri="{FF2B5EF4-FFF2-40B4-BE49-F238E27FC236}">
              <a16:creationId xmlns:a16="http://schemas.microsoft.com/office/drawing/2014/main" id="{38B77D86-D69D-4FE7-A2F5-F0C7FC27CA37}"/>
            </a:ext>
          </a:extLst>
        </xdr:cNvPr>
        <xdr:cNvSpPr/>
      </xdr:nvSpPr>
      <xdr:spPr>
        <a:xfrm>
          <a:off x="5572125" y="904875"/>
          <a:ext cx="733425" cy="923926"/>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523875</xdr:colOff>
      <xdr:row>7</xdr:row>
      <xdr:rowOff>19050</xdr:rowOff>
    </xdr:from>
    <xdr:ext cx="184731" cy="264560"/>
    <xdr:sp macro="" textlink="">
      <xdr:nvSpPr>
        <xdr:cNvPr id="18" name="TextBox 17">
          <a:extLst>
            <a:ext uri="{FF2B5EF4-FFF2-40B4-BE49-F238E27FC236}">
              <a16:creationId xmlns:a16="http://schemas.microsoft.com/office/drawing/2014/main" id="{8B8955C6-AED3-2536-288F-1DC987DE5FA2}"/>
            </a:ext>
          </a:extLst>
        </xdr:cNvPr>
        <xdr:cNvSpPr txBox="1"/>
      </xdr:nvSpPr>
      <xdr:spPr>
        <a:xfrm>
          <a:off x="6619875" y="135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333375</xdr:colOff>
      <xdr:row>5</xdr:row>
      <xdr:rowOff>85726</xdr:rowOff>
    </xdr:from>
    <xdr:to>
      <xdr:col>13</xdr:col>
      <xdr:colOff>485775</xdr:colOff>
      <xdr:row>6</xdr:row>
      <xdr:rowOff>161926</xdr:rowOff>
    </xdr:to>
    <xdr:sp macro="" textlink="">
      <xdr:nvSpPr>
        <xdr:cNvPr id="19" name="TextBox 18">
          <a:extLst>
            <a:ext uri="{FF2B5EF4-FFF2-40B4-BE49-F238E27FC236}">
              <a16:creationId xmlns:a16="http://schemas.microsoft.com/office/drawing/2014/main" id="{651920E4-9E8D-C304-5887-AA9E4F5CD014}"/>
            </a:ext>
          </a:extLst>
        </xdr:cNvPr>
        <xdr:cNvSpPr txBox="1"/>
      </xdr:nvSpPr>
      <xdr:spPr>
        <a:xfrm>
          <a:off x="6429375" y="1038226"/>
          <a:ext cx="1981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AVERAGE</a:t>
          </a:r>
          <a:r>
            <a:rPr lang="en-IN" sz="1100" b="1" baseline="0">
              <a:solidFill>
                <a:schemeClr val="tx2"/>
              </a:solidFill>
            </a:rPr>
            <a:t> LENGTH OF STAY</a:t>
          </a:r>
          <a:endParaRPr lang="en-IN" sz="1100" b="1">
            <a:solidFill>
              <a:schemeClr val="tx2"/>
            </a:solidFill>
          </a:endParaRPr>
        </a:p>
      </xdr:txBody>
    </xdr:sp>
    <xdr:clientData/>
  </xdr:twoCellAnchor>
  <xdr:twoCellAnchor>
    <xdr:from>
      <xdr:col>14</xdr:col>
      <xdr:colOff>0</xdr:colOff>
      <xdr:row>4</xdr:row>
      <xdr:rowOff>152400</xdr:rowOff>
    </xdr:from>
    <xdr:to>
      <xdr:col>18</xdr:col>
      <xdr:colOff>209550</xdr:colOff>
      <xdr:row>9</xdr:row>
      <xdr:rowOff>120825</xdr:rowOff>
    </xdr:to>
    <xdr:sp macro="" textlink="Dashboard!$N$2">
      <xdr:nvSpPr>
        <xdr:cNvPr id="21" name="Rectangle: Rounded Corners 20">
          <a:extLst>
            <a:ext uri="{FF2B5EF4-FFF2-40B4-BE49-F238E27FC236}">
              <a16:creationId xmlns:a16="http://schemas.microsoft.com/office/drawing/2014/main" id="{ACB1A227-83B6-45C6-B803-36F1A6E838C2}"/>
            </a:ext>
          </a:extLst>
        </xdr:cNvPr>
        <xdr:cNvSpPr/>
      </xdr:nvSpPr>
      <xdr:spPr>
        <a:xfrm>
          <a:off x="8534400" y="914400"/>
          <a:ext cx="2647950" cy="92092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4CC99FB-9F08-48C4-8ADE-6E7CE3BA3AE3}" type="TxLink">
            <a:rPr lang="en-US" sz="1100" b="0" i="0" u="none" strike="noStrike">
              <a:solidFill>
                <a:srgbClr val="000000"/>
              </a:solidFill>
              <a:latin typeface="Aptos Narrow"/>
            </a:rPr>
            <a:pPr algn="l"/>
            <a:t> </a:t>
          </a:fld>
          <a:endParaRPr lang="en-IN" sz="1100"/>
        </a:p>
      </xdr:txBody>
    </xdr:sp>
    <xdr:clientData/>
  </xdr:twoCellAnchor>
  <xdr:twoCellAnchor>
    <xdr:from>
      <xdr:col>14</xdr:col>
      <xdr:colOff>9525</xdr:colOff>
      <xdr:row>4</xdr:row>
      <xdr:rowOff>161925</xdr:rowOff>
    </xdr:from>
    <xdr:to>
      <xdr:col>15</xdr:col>
      <xdr:colOff>133350</xdr:colOff>
      <xdr:row>9</xdr:row>
      <xdr:rowOff>133351</xdr:rowOff>
    </xdr:to>
    <xdr:sp macro="" textlink="">
      <xdr:nvSpPr>
        <xdr:cNvPr id="22" name="Rectangle: Rounded Corners 21">
          <a:extLst>
            <a:ext uri="{FF2B5EF4-FFF2-40B4-BE49-F238E27FC236}">
              <a16:creationId xmlns:a16="http://schemas.microsoft.com/office/drawing/2014/main" id="{F4BB9A45-56AF-4E09-A04B-3FE1DCB7D671}"/>
            </a:ext>
          </a:extLst>
        </xdr:cNvPr>
        <xdr:cNvSpPr/>
      </xdr:nvSpPr>
      <xdr:spPr>
        <a:xfrm>
          <a:off x="8543925" y="923925"/>
          <a:ext cx="733425" cy="923926"/>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238125</xdr:colOff>
      <xdr:row>5</xdr:row>
      <xdr:rowOff>85726</xdr:rowOff>
    </xdr:from>
    <xdr:to>
      <xdr:col>17</xdr:col>
      <xdr:colOff>523875</xdr:colOff>
      <xdr:row>6</xdr:row>
      <xdr:rowOff>133350</xdr:rowOff>
    </xdr:to>
    <xdr:sp macro="" textlink="">
      <xdr:nvSpPr>
        <xdr:cNvPr id="23" name="TextBox 22">
          <a:extLst>
            <a:ext uri="{FF2B5EF4-FFF2-40B4-BE49-F238E27FC236}">
              <a16:creationId xmlns:a16="http://schemas.microsoft.com/office/drawing/2014/main" id="{23B2A08A-25A1-9628-D30E-2562365D86A2}"/>
            </a:ext>
          </a:extLst>
        </xdr:cNvPr>
        <xdr:cNvSpPr txBox="1"/>
      </xdr:nvSpPr>
      <xdr:spPr>
        <a:xfrm>
          <a:off x="9382125" y="1038226"/>
          <a:ext cx="150495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CANCELLATION</a:t>
          </a:r>
          <a:r>
            <a:rPr lang="en-IN" sz="1100" b="1" baseline="0"/>
            <a:t> </a:t>
          </a:r>
          <a:r>
            <a:rPr lang="en-IN" sz="1100" b="1" baseline="0">
              <a:solidFill>
                <a:schemeClr val="tx2"/>
              </a:solidFill>
            </a:rPr>
            <a:t>RATE</a:t>
          </a:r>
          <a:endParaRPr lang="en-IN" sz="1100" b="1">
            <a:solidFill>
              <a:schemeClr val="tx2"/>
            </a:solidFill>
          </a:endParaRPr>
        </a:p>
      </xdr:txBody>
    </xdr:sp>
    <xdr:clientData/>
  </xdr:twoCellAnchor>
  <xdr:twoCellAnchor>
    <xdr:from>
      <xdr:col>11</xdr:col>
      <xdr:colOff>114300</xdr:colOff>
      <xdr:row>7</xdr:row>
      <xdr:rowOff>9525</xdr:rowOff>
    </xdr:from>
    <xdr:to>
      <xdr:col>13</xdr:col>
      <xdr:colOff>285750</xdr:colOff>
      <xdr:row>8</xdr:row>
      <xdr:rowOff>66675</xdr:rowOff>
    </xdr:to>
    <xdr:sp macro="" textlink="'Hotel Booking '!N6">
      <xdr:nvSpPr>
        <xdr:cNvPr id="24" name="TextBox 23">
          <a:extLst>
            <a:ext uri="{FF2B5EF4-FFF2-40B4-BE49-F238E27FC236}">
              <a16:creationId xmlns:a16="http://schemas.microsoft.com/office/drawing/2014/main" id="{C0AE3AB0-5917-110A-AB9B-0EE69A22F1B7}"/>
            </a:ext>
          </a:extLst>
        </xdr:cNvPr>
        <xdr:cNvSpPr txBox="1"/>
      </xdr:nvSpPr>
      <xdr:spPr>
        <a:xfrm>
          <a:off x="6819900" y="1343025"/>
          <a:ext cx="1390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65E5AD-CE30-4338-B038-6994657F8E4C}" type="TxLink">
            <a:rPr lang="en-US" sz="1100" b="1" i="0" u="none" strike="noStrike">
              <a:solidFill>
                <a:srgbClr val="000000"/>
              </a:solidFill>
              <a:latin typeface="Aptos Narrow"/>
            </a:rPr>
            <a:pPr/>
            <a:t>2.666666667</a:t>
          </a:fld>
          <a:endParaRPr lang="en-IN" sz="1100" b="1"/>
        </a:p>
      </xdr:txBody>
    </xdr:sp>
    <xdr:clientData/>
  </xdr:twoCellAnchor>
  <xdr:twoCellAnchor>
    <xdr:from>
      <xdr:col>16</xdr:col>
      <xdr:colOff>180975</xdr:colOff>
      <xdr:row>7</xdr:row>
      <xdr:rowOff>28575</xdr:rowOff>
    </xdr:from>
    <xdr:to>
      <xdr:col>18</xdr:col>
      <xdr:colOff>228600</xdr:colOff>
      <xdr:row>8</xdr:row>
      <xdr:rowOff>76200</xdr:rowOff>
    </xdr:to>
    <xdr:sp macro="" textlink="">
      <xdr:nvSpPr>
        <xdr:cNvPr id="25" name="TextBox 24">
          <a:extLst>
            <a:ext uri="{FF2B5EF4-FFF2-40B4-BE49-F238E27FC236}">
              <a16:creationId xmlns:a16="http://schemas.microsoft.com/office/drawing/2014/main" id="{89C286C3-734D-0C27-5D31-552AABDA5FFE}"/>
            </a:ext>
          </a:extLst>
        </xdr:cNvPr>
        <xdr:cNvSpPr txBox="1"/>
      </xdr:nvSpPr>
      <xdr:spPr>
        <a:xfrm>
          <a:off x="9934575" y="1362075"/>
          <a:ext cx="12668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2</a:t>
          </a:r>
        </a:p>
      </xdr:txBody>
    </xdr:sp>
    <xdr:clientData/>
  </xdr:twoCellAnchor>
  <xdr:twoCellAnchor editAs="oneCell">
    <xdr:from>
      <xdr:col>0</xdr:col>
      <xdr:colOff>190500</xdr:colOff>
      <xdr:row>5</xdr:row>
      <xdr:rowOff>180975</xdr:rowOff>
    </xdr:from>
    <xdr:to>
      <xdr:col>0</xdr:col>
      <xdr:colOff>586500</xdr:colOff>
      <xdr:row>8</xdr:row>
      <xdr:rowOff>28575</xdr:rowOff>
    </xdr:to>
    <xdr:pic>
      <xdr:nvPicPr>
        <xdr:cNvPr id="27" name="Graphic 26" descr="Rupee with solid fill">
          <a:extLst>
            <a:ext uri="{FF2B5EF4-FFF2-40B4-BE49-F238E27FC236}">
              <a16:creationId xmlns:a16="http://schemas.microsoft.com/office/drawing/2014/main" id="{0350382F-27B4-2ACA-26C4-93365F2E9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133475"/>
          <a:ext cx="396000" cy="419100"/>
        </a:xfrm>
        <a:prstGeom prst="rect">
          <a:avLst/>
        </a:prstGeom>
      </xdr:spPr>
    </xdr:pic>
    <xdr:clientData/>
  </xdr:twoCellAnchor>
  <xdr:twoCellAnchor editAs="oneCell">
    <xdr:from>
      <xdr:col>4</xdr:col>
      <xdr:colOff>466725</xdr:colOff>
      <xdr:row>5</xdr:row>
      <xdr:rowOff>133350</xdr:rowOff>
    </xdr:from>
    <xdr:to>
      <xdr:col>5</xdr:col>
      <xdr:colOff>361125</xdr:colOff>
      <xdr:row>8</xdr:row>
      <xdr:rowOff>65850</xdr:rowOff>
    </xdr:to>
    <xdr:pic>
      <xdr:nvPicPr>
        <xdr:cNvPr id="29" name="Graphic 28" descr="Sleep with solid fill">
          <a:extLst>
            <a:ext uri="{FF2B5EF4-FFF2-40B4-BE49-F238E27FC236}">
              <a16:creationId xmlns:a16="http://schemas.microsoft.com/office/drawing/2014/main" id="{4FEE5BB5-CF54-7BBE-8DBF-E41B554D75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05125" y="1085850"/>
          <a:ext cx="504000" cy="504000"/>
        </a:xfrm>
        <a:prstGeom prst="rect">
          <a:avLst/>
        </a:prstGeom>
      </xdr:spPr>
    </xdr:pic>
    <xdr:clientData/>
  </xdr:twoCellAnchor>
  <xdr:twoCellAnchor editAs="oneCell">
    <xdr:from>
      <xdr:col>9</xdr:col>
      <xdr:colOff>161925</xdr:colOff>
      <xdr:row>5</xdr:row>
      <xdr:rowOff>85725</xdr:rowOff>
    </xdr:from>
    <xdr:to>
      <xdr:col>10</xdr:col>
      <xdr:colOff>128325</xdr:colOff>
      <xdr:row>8</xdr:row>
      <xdr:rowOff>90225</xdr:rowOff>
    </xdr:to>
    <xdr:pic>
      <xdr:nvPicPr>
        <xdr:cNvPr id="31" name="Graphic 30" descr="Work from home house with solid fill">
          <a:extLst>
            <a:ext uri="{FF2B5EF4-FFF2-40B4-BE49-F238E27FC236}">
              <a16:creationId xmlns:a16="http://schemas.microsoft.com/office/drawing/2014/main" id="{C692C167-2E65-3116-F51B-184C6F595E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48325" y="1038225"/>
          <a:ext cx="576000" cy="576000"/>
        </a:xfrm>
        <a:prstGeom prst="rect">
          <a:avLst/>
        </a:prstGeom>
      </xdr:spPr>
    </xdr:pic>
    <xdr:clientData/>
  </xdr:twoCellAnchor>
  <xdr:twoCellAnchor editAs="oneCell">
    <xdr:from>
      <xdr:col>14</xdr:col>
      <xdr:colOff>133350</xdr:colOff>
      <xdr:row>5</xdr:row>
      <xdr:rowOff>161925</xdr:rowOff>
    </xdr:from>
    <xdr:to>
      <xdr:col>15</xdr:col>
      <xdr:colOff>861</xdr:colOff>
      <xdr:row>8</xdr:row>
      <xdr:rowOff>58425</xdr:rowOff>
    </xdr:to>
    <xdr:pic>
      <xdr:nvPicPr>
        <xdr:cNvPr id="33" name="Graphic 32" descr="Close with solid fill">
          <a:extLst>
            <a:ext uri="{FF2B5EF4-FFF2-40B4-BE49-F238E27FC236}">
              <a16:creationId xmlns:a16="http://schemas.microsoft.com/office/drawing/2014/main" id="{B83ABA70-F5E8-9C25-D387-B5E35571A9C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667750" y="1114425"/>
          <a:ext cx="468000" cy="468000"/>
        </a:xfrm>
        <a:prstGeom prst="rect">
          <a:avLst/>
        </a:prstGeom>
      </xdr:spPr>
    </xdr:pic>
    <xdr:clientData/>
  </xdr:twoCellAnchor>
  <xdr:twoCellAnchor>
    <xdr:from>
      <xdr:col>1</xdr:col>
      <xdr:colOff>438150</xdr:colOff>
      <xdr:row>0</xdr:row>
      <xdr:rowOff>152400</xdr:rowOff>
    </xdr:from>
    <xdr:to>
      <xdr:col>10</xdr:col>
      <xdr:colOff>590550</xdr:colOff>
      <xdr:row>3</xdr:row>
      <xdr:rowOff>76200</xdr:rowOff>
    </xdr:to>
    <xdr:sp macro="" textlink="">
      <xdr:nvSpPr>
        <xdr:cNvPr id="34" name="TextBox 33">
          <a:extLst>
            <a:ext uri="{FF2B5EF4-FFF2-40B4-BE49-F238E27FC236}">
              <a16:creationId xmlns:a16="http://schemas.microsoft.com/office/drawing/2014/main" id="{8DD05AD9-1A1D-B5B8-B7C9-B20DE5B509DA}"/>
            </a:ext>
          </a:extLst>
        </xdr:cNvPr>
        <xdr:cNvSpPr txBox="1"/>
      </xdr:nvSpPr>
      <xdr:spPr>
        <a:xfrm>
          <a:off x="1047750" y="152400"/>
          <a:ext cx="56388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solidFill>
            </a:rPr>
            <a:t>HOTEL BOOKING ANALYSIS</a:t>
          </a:r>
          <a:r>
            <a:rPr lang="en-IN" sz="2400" b="1" baseline="0">
              <a:solidFill>
                <a:schemeClr val="accent1"/>
              </a:solidFill>
            </a:rPr>
            <a:t> DASHBOARD</a:t>
          </a:r>
          <a:endParaRPr lang="en-IN" sz="2400" b="1">
            <a:solidFill>
              <a:schemeClr val="accent1"/>
            </a:solidFill>
          </a:endParaRPr>
        </a:p>
      </xdr:txBody>
    </xdr:sp>
    <xdr:clientData/>
  </xdr:twoCellAnchor>
  <xdr:twoCellAnchor editAs="oneCell">
    <xdr:from>
      <xdr:col>0</xdr:col>
      <xdr:colOff>190500</xdr:colOff>
      <xdr:row>0</xdr:row>
      <xdr:rowOff>0</xdr:rowOff>
    </xdr:from>
    <xdr:to>
      <xdr:col>1</xdr:col>
      <xdr:colOff>396900</xdr:colOff>
      <xdr:row>3</xdr:row>
      <xdr:rowOff>40500</xdr:rowOff>
    </xdr:to>
    <xdr:pic>
      <xdr:nvPicPr>
        <xdr:cNvPr id="36" name="Picture 35">
          <a:extLst>
            <a:ext uri="{FF2B5EF4-FFF2-40B4-BE49-F238E27FC236}">
              <a16:creationId xmlns:a16="http://schemas.microsoft.com/office/drawing/2014/main" id="{1A412FD7-7E9B-2CDB-5516-BBCAD725BF6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90500" y="0"/>
          <a:ext cx="816000" cy="612000"/>
        </a:xfrm>
        <a:prstGeom prst="rect">
          <a:avLst/>
        </a:prstGeom>
      </xdr:spPr>
    </xdr:pic>
    <xdr:clientData/>
  </xdr:twoCellAnchor>
  <xdr:oneCellAnchor>
    <xdr:from>
      <xdr:col>5</xdr:col>
      <xdr:colOff>523875</xdr:colOff>
      <xdr:row>14</xdr:row>
      <xdr:rowOff>134114</xdr:rowOff>
    </xdr:from>
    <xdr:ext cx="1499619" cy="233205"/>
    <xdr:sp macro="" textlink="">
      <xdr:nvSpPr>
        <xdr:cNvPr id="37" name="TextBox 36">
          <a:extLst>
            <a:ext uri="{FF2B5EF4-FFF2-40B4-BE49-F238E27FC236}">
              <a16:creationId xmlns:a16="http://schemas.microsoft.com/office/drawing/2014/main" id="{FCF60532-8A46-3CA5-4744-BBEE24113504}"/>
            </a:ext>
          </a:extLst>
        </xdr:cNvPr>
        <xdr:cNvSpPr txBox="1"/>
      </xdr:nvSpPr>
      <xdr:spPr>
        <a:xfrm>
          <a:off x="3571875" y="2801114"/>
          <a:ext cx="149961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0</xdr:col>
      <xdr:colOff>0</xdr:colOff>
      <xdr:row>10</xdr:row>
      <xdr:rowOff>0</xdr:rowOff>
    </xdr:from>
    <xdr:to>
      <xdr:col>4</xdr:col>
      <xdr:colOff>142875</xdr:colOff>
      <xdr:row>14</xdr:row>
      <xdr:rowOff>8937</xdr:rowOff>
    </xdr:to>
    <mc:AlternateContent xmlns:mc="http://schemas.openxmlformats.org/markup-compatibility/2006" xmlns:a14="http://schemas.microsoft.com/office/drawing/2010/main">
      <mc:Choice Requires="a14">
        <xdr:graphicFrame macro="">
          <xdr:nvGraphicFramePr>
            <xdr:cNvPr id="39" name="Room Type 1">
              <a:extLst>
                <a:ext uri="{FF2B5EF4-FFF2-40B4-BE49-F238E27FC236}">
                  <a16:creationId xmlns:a16="http://schemas.microsoft.com/office/drawing/2014/main" id="{B506164E-B1CA-4FD6-802A-4534B7AF7C86}"/>
                </a:ext>
              </a:extLst>
            </xdr:cNvPr>
            <xdr:cNvGraphicFramePr/>
          </xdr:nvGraphicFramePr>
          <xdr:xfrm>
            <a:off x="0" y="0"/>
            <a:ext cx="0" cy="0"/>
          </xdr:xfrm>
          <a:graphic>
            <a:graphicData uri="http://schemas.microsoft.com/office/drawing/2010/slicer">
              <sle:slicer xmlns:sle="http://schemas.microsoft.com/office/drawing/2010/slicer" name="Room Type 1"/>
            </a:graphicData>
          </a:graphic>
        </xdr:graphicFrame>
      </mc:Choice>
      <mc:Fallback xmlns="">
        <xdr:sp macro="" textlink="">
          <xdr:nvSpPr>
            <xdr:cNvPr id="0" name=""/>
            <xdr:cNvSpPr>
              <a:spLocks noTextEdit="1"/>
            </xdr:cNvSpPr>
          </xdr:nvSpPr>
          <xdr:spPr>
            <a:xfrm>
              <a:off x="0" y="1838158"/>
              <a:ext cx="2549191" cy="74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404091</xdr:colOff>
      <xdr:row>10</xdr:row>
      <xdr:rowOff>75444</xdr:rowOff>
    </xdr:from>
    <xdr:to>
      <xdr:col>8</xdr:col>
      <xdr:colOff>562840</xdr:colOff>
      <xdr:row>13</xdr:row>
      <xdr:rowOff>34302</xdr:rowOff>
    </xdr:to>
    <mc:AlternateContent xmlns:mc="http://schemas.openxmlformats.org/markup-compatibility/2006" xmlns:a14="http://schemas.microsoft.com/office/drawing/2010/main">
      <mc:Choice Requires="a14">
        <xdr:graphicFrame macro="">
          <xdr:nvGraphicFramePr>
            <xdr:cNvPr id="40" name="Booking Status 1">
              <a:extLst>
                <a:ext uri="{FF2B5EF4-FFF2-40B4-BE49-F238E27FC236}">
                  <a16:creationId xmlns:a16="http://schemas.microsoft.com/office/drawing/2014/main" id="{6404A37C-C4AA-4786-B324-7CAABE097E19}"/>
                </a:ext>
              </a:extLst>
            </xdr:cNvPr>
            <xdr:cNvGraphicFramePr/>
          </xdr:nvGraphicFramePr>
          <xdr:xfrm>
            <a:off x="0" y="0"/>
            <a:ext cx="0" cy="0"/>
          </xdr:xfrm>
          <a:graphic>
            <a:graphicData uri="http://schemas.microsoft.com/office/drawing/2010/slicer">
              <sle:slicer xmlns:sle="http://schemas.microsoft.com/office/drawing/2010/slicer" name="Booking Status 1"/>
            </a:graphicData>
          </a:graphic>
        </xdr:graphicFrame>
      </mc:Choice>
      <mc:Fallback xmlns="">
        <xdr:sp macro="" textlink="">
          <xdr:nvSpPr>
            <xdr:cNvPr id="0" name=""/>
            <xdr:cNvSpPr>
              <a:spLocks noTextEdit="1"/>
            </xdr:cNvSpPr>
          </xdr:nvSpPr>
          <xdr:spPr>
            <a:xfrm>
              <a:off x="2810407" y="1913602"/>
              <a:ext cx="2565065" cy="510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72159</xdr:colOff>
      <xdr:row>10</xdr:row>
      <xdr:rowOff>19518</xdr:rowOff>
    </xdr:from>
    <xdr:to>
      <xdr:col>13</xdr:col>
      <xdr:colOff>476250</xdr:colOff>
      <xdr:row>13</xdr:row>
      <xdr:rowOff>124336</xdr:rowOff>
    </xdr:to>
    <mc:AlternateContent xmlns:mc="http://schemas.openxmlformats.org/markup-compatibility/2006" xmlns:a14="http://schemas.microsoft.com/office/drawing/2010/main">
      <mc:Choice Requires="a14">
        <xdr:graphicFrame macro="">
          <xdr:nvGraphicFramePr>
            <xdr:cNvPr id="41" name="Customer Type 1">
              <a:extLst>
                <a:ext uri="{FF2B5EF4-FFF2-40B4-BE49-F238E27FC236}">
                  <a16:creationId xmlns:a16="http://schemas.microsoft.com/office/drawing/2014/main" id="{023342A3-1621-46C5-84E7-7880BE657D8E}"/>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5486370" y="1857676"/>
              <a:ext cx="2810406" cy="656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14432</xdr:colOff>
      <xdr:row>10</xdr:row>
      <xdr:rowOff>17762</xdr:rowOff>
    </xdr:from>
    <xdr:to>
      <xdr:col>18</xdr:col>
      <xdr:colOff>204931</xdr:colOff>
      <xdr:row>17</xdr:row>
      <xdr:rowOff>65386</xdr:rowOff>
    </xdr:to>
    <mc:AlternateContent xmlns:mc="http://schemas.openxmlformats.org/markup-compatibility/2006" xmlns:a14="http://schemas.microsoft.com/office/drawing/2010/main">
      <mc:Choice Requires="a14">
        <xdr:graphicFrame macro="">
          <xdr:nvGraphicFramePr>
            <xdr:cNvPr id="42" name="Country 1">
              <a:extLst>
                <a:ext uri="{FF2B5EF4-FFF2-40B4-BE49-F238E27FC236}">
                  <a16:creationId xmlns:a16="http://schemas.microsoft.com/office/drawing/2014/main" id="{F3E8C345-C7B0-4D5E-824B-F71863CCBBE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436537" y="1855920"/>
              <a:ext cx="2596815" cy="1334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60883</xdr:colOff>
      <xdr:row>14</xdr:row>
      <xdr:rowOff>34241</xdr:rowOff>
    </xdr:from>
    <xdr:to>
      <xdr:col>8</xdr:col>
      <xdr:colOff>213060</xdr:colOff>
      <xdr:row>32</xdr:row>
      <xdr:rowOff>62665</xdr:rowOff>
    </xdr:to>
    <xdr:sp macro="" textlink="">
      <xdr:nvSpPr>
        <xdr:cNvPr id="44" name="Rectangle: Rounded Corners 43">
          <a:extLst>
            <a:ext uri="{FF2B5EF4-FFF2-40B4-BE49-F238E27FC236}">
              <a16:creationId xmlns:a16="http://schemas.microsoft.com/office/drawing/2014/main" id="{E0A98D94-08C6-4E9D-25FB-ECCB498489CC}"/>
            </a:ext>
          </a:extLst>
        </xdr:cNvPr>
        <xdr:cNvSpPr/>
      </xdr:nvSpPr>
      <xdr:spPr>
        <a:xfrm>
          <a:off x="60883" y="2666149"/>
          <a:ext cx="5065072" cy="341230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a:t>
          </a:r>
        </a:p>
      </xdr:txBody>
    </xdr:sp>
    <xdr:clientData/>
  </xdr:twoCellAnchor>
  <xdr:twoCellAnchor>
    <xdr:from>
      <xdr:col>0</xdr:col>
      <xdr:colOff>262824</xdr:colOff>
      <xdr:row>15</xdr:row>
      <xdr:rowOff>117163</xdr:rowOff>
    </xdr:from>
    <xdr:to>
      <xdr:col>3</xdr:col>
      <xdr:colOff>213979</xdr:colOff>
      <xdr:row>17</xdr:row>
      <xdr:rowOff>68317</xdr:rowOff>
    </xdr:to>
    <xdr:sp macro="" textlink="">
      <xdr:nvSpPr>
        <xdr:cNvPr id="45" name="TextBox 44">
          <a:extLst>
            <a:ext uri="{FF2B5EF4-FFF2-40B4-BE49-F238E27FC236}">
              <a16:creationId xmlns:a16="http://schemas.microsoft.com/office/drawing/2014/main" id="{1F6CFD74-E6BC-B28C-D015-BFCC20497519}"/>
            </a:ext>
          </a:extLst>
        </xdr:cNvPr>
        <xdr:cNvSpPr txBox="1"/>
      </xdr:nvSpPr>
      <xdr:spPr>
        <a:xfrm>
          <a:off x="262824" y="3039606"/>
          <a:ext cx="1769564" cy="340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solidFill>
            </a:rPr>
            <a:t>ROOM TYPE</a:t>
          </a:r>
        </a:p>
      </xdr:txBody>
    </xdr:sp>
    <xdr:clientData/>
  </xdr:twoCellAnchor>
  <xdr:twoCellAnchor>
    <xdr:from>
      <xdr:col>9</xdr:col>
      <xdr:colOff>29009</xdr:colOff>
      <xdr:row>15</xdr:row>
      <xdr:rowOff>64828</xdr:rowOff>
    </xdr:from>
    <xdr:to>
      <xdr:col>11</xdr:col>
      <xdr:colOff>594276</xdr:colOff>
      <xdr:row>17</xdr:row>
      <xdr:rowOff>15982</xdr:rowOff>
    </xdr:to>
    <xdr:sp macro="" textlink="">
      <xdr:nvSpPr>
        <xdr:cNvPr id="47" name="TextBox 46">
          <a:extLst>
            <a:ext uri="{FF2B5EF4-FFF2-40B4-BE49-F238E27FC236}">
              <a16:creationId xmlns:a16="http://schemas.microsoft.com/office/drawing/2014/main" id="{BF96A018-12B6-C80B-5470-C395F4708DEF}"/>
            </a:ext>
          </a:extLst>
        </xdr:cNvPr>
        <xdr:cNvSpPr txBox="1"/>
      </xdr:nvSpPr>
      <xdr:spPr>
        <a:xfrm>
          <a:off x="5556016" y="2884729"/>
          <a:ext cx="1793490" cy="3271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353841</xdr:colOff>
      <xdr:row>17</xdr:row>
      <xdr:rowOff>76421</xdr:rowOff>
    </xdr:from>
    <xdr:to>
      <xdr:col>8</xdr:col>
      <xdr:colOff>18597</xdr:colOff>
      <xdr:row>31</xdr:row>
      <xdr:rowOff>12058</xdr:rowOff>
    </xdr:to>
    <xdr:graphicFrame macro="">
      <xdr:nvGraphicFramePr>
        <xdr:cNvPr id="48" name="Chart 47">
          <a:extLst>
            <a:ext uri="{FF2B5EF4-FFF2-40B4-BE49-F238E27FC236}">
              <a16:creationId xmlns:a16="http://schemas.microsoft.com/office/drawing/2014/main" id="{053C5DC8-14DC-4749-A449-8551B5465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352630</xdr:colOff>
      <xdr:row>14</xdr:row>
      <xdr:rowOff>73488</xdr:rowOff>
    </xdr:from>
    <xdr:to>
      <xdr:col>13</xdr:col>
      <xdr:colOff>427827</xdr:colOff>
      <xdr:row>32</xdr:row>
      <xdr:rowOff>98555</xdr:rowOff>
    </xdr:to>
    <xdr:sp macro="" textlink="">
      <xdr:nvSpPr>
        <xdr:cNvPr id="50" name="Rectangle: Rounded Corners 49">
          <a:extLst>
            <a:ext uri="{FF2B5EF4-FFF2-40B4-BE49-F238E27FC236}">
              <a16:creationId xmlns:a16="http://schemas.microsoft.com/office/drawing/2014/main" id="{2DD629ED-8571-9499-4A65-09F662C281EA}"/>
            </a:ext>
          </a:extLst>
        </xdr:cNvPr>
        <xdr:cNvSpPr/>
      </xdr:nvSpPr>
      <xdr:spPr>
        <a:xfrm>
          <a:off x="5201721" y="2801102"/>
          <a:ext cx="3105879" cy="3531998"/>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MB</a:t>
          </a:r>
        </a:p>
      </xdr:txBody>
    </xdr:sp>
    <xdr:clientData/>
  </xdr:twoCellAnchor>
  <xdr:twoCellAnchor>
    <xdr:from>
      <xdr:col>8</xdr:col>
      <xdr:colOff>577083</xdr:colOff>
      <xdr:row>17</xdr:row>
      <xdr:rowOff>111087</xdr:rowOff>
    </xdr:from>
    <xdr:to>
      <xdr:col>13</xdr:col>
      <xdr:colOff>351491</xdr:colOff>
      <xdr:row>30</xdr:row>
      <xdr:rowOff>186284</xdr:rowOff>
    </xdr:to>
    <xdr:graphicFrame macro="">
      <xdr:nvGraphicFramePr>
        <xdr:cNvPr id="51" name="Chart 50">
          <a:extLst>
            <a:ext uri="{FF2B5EF4-FFF2-40B4-BE49-F238E27FC236}">
              <a16:creationId xmlns:a16="http://schemas.microsoft.com/office/drawing/2014/main" id="{B9B96F01-15EB-4D6A-9C9B-AC0063854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xdr:colOff>
      <xdr:row>15</xdr:row>
      <xdr:rowOff>50131</xdr:rowOff>
    </xdr:from>
    <xdr:to>
      <xdr:col>11</xdr:col>
      <xdr:colOff>12533</xdr:colOff>
      <xdr:row>16</xdr:row>
      <xdr:rowOff>150394</xdr:rowOff>
    </xdr:to>
    <xdr:sp macro="" textlink="">
      <xdr:nvSpPr>
        <xdr:cNvPr id="52" name="TextBox 51">
          <a:extLst>
            <a:ext uri="{FF2B5EF4-FFF2-40B4-BE49-F238E27FC236}">
              <a16:creationId xmlns:a16="http://schemas.microsoft.com/office/drawing/2014/main" id="{D9195025-48D8-4DC8-3739-6261107C904E}"/>
            </a:ext>
          </a:extLst>
        </xdr:cNvPr>
        <xdr:cNvSpPr txBox="1"/>
      </xdr:nvSpPr>
      <xdr:spPr>
        <a:xfrm>
          <a:off x="5527006" y="2870032"/>
          <a:ext cx="1240757" cy="288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BOOKING STATUS </a:t>
          </a:r>
        </a:p>
      </xdr:txBody>
    </xdr:sp>
    <xdr:clientData/>
  </xdr:twoCellAnchor>
  <xdr:twoCellAnchor>
    <xdr:from>
      <xdr:col>0</xdr:col>
      <xdr:colOff>0</xdr:colOff>
      <xdr:row>33</xdr:row>
      <xdr:rowOff>134525</xdr:rowOff>
    </xdr:from>
    <xdr:to>
      <xdr:col>9</xdr:col>
      <xdr:colOff>11556</xdr:colOff>
      <xdr:row>49</xdr:row>
      <xdr:rowOff>148685</xdr:rowOff>
    </xdr:to>
    <xdr:sp macro="" textlink="">
      <xdr:nvSpPr>
        <xdr:cNvPr id="53" name="Rectangle: Rounded Corners 52">
          <a:extLst>
            <a:ext uri="{FF2B5EF4-FFF2-40B4-BE49-F238E27FC236}">
              <a16:creationId xmlns:a16="http://schemas.microsoft.com/office/drawing/2014/main" id="{79B490E4-B3C5-5B8B-63D6-110365EAB8EC}"/>
            </a:ext>
          </a:extLst>
        </xdr:cNvPr>
        <xdr:cNvSpPr/>
      </xdr:nvSpPr>
      <xdr:spPr>
        <a:xfrm>
          <a:off x="0" y="6563900"/>
          <a:ext cx="5466783" cy="3131433"/>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337430</xdr:colOff>
      <xdr:row>35</xdr:row>
      <xdr:rowOff>56018</xdr:rowOff>
    </xdr:from>
    <xdr:to>
      <xdr:col>4</xdr:col>
      <xdr:colOff>367764</xdr:colOff>
      <xdr:row>36</xdr:row>
      <xdr:rowOff>153276</xdr:rowOff>
    </xdr:to>
    <xdr:sp macro="" textlink="">
      <xdr:nvSpPr>
        <xdr:cNvPr id="56" name="TextBox 55">
          <a:extLst>
            <a:ext uri="{FF2B5EF4-FFF2-40B4-BE49-F238E27FC236}">
              <a16:creationId xmlns:a16="http://schemas.microsoft.com/office/drawing/2014/main" id="{36D584B6-0107-00CF-DDE4-BD1B6F426D1F}"/>
            </a:ext>
          </a:extLst>
        </xdr:cNvPr>
        <xdr:cNvSpPr txBox="1"/>
      </xdr:nvSpPr>
      <xdr:spPr>
        <a:xfrm>
          <a:off x="337430" y="6570242"/>
          <a:ext cx="2482748" cy="283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solidFill>
            </a:rPr>
            <a:t>CUSTOMER</a:t>
          </a:r>
          <a:r>
            <a:rPr lang="en-IN" sz="1200" b="1" baseline="0">
              <a:solidFill>
                <a:schemeClr val="tx2"/>
              </a:solidFill>
            </a:rPr>
            <a:t> TYPE PREFERENCE</a:t>
          </a:r>
          <a:endParaRPr lang="en-IN" sz="1200" b="1">
            <a:solidFill>
              <a:schemeClr val="tx2"/>
            </a:solidFill>
          </a:endParaRPr>
        </a:p>
      </xdr:txBody>
    </xdr:sp>
    <xdr:clientData/>
  </xdr:twoCellAnchor>
  <xdr:twoCellAnchor>
    <xdr:from>
      <xdr:col>9</xdr:col>
      <xdr:colOff>174948</xdr:colOff>
      <xdr:row>33</xdr:row>
      <xdr:rowOff>97193</xdr:rowOff>
    </xdr:from>
    <xdr:to>
      <xdr:col>20</xdr:col>
      <xdr:colOff>194386</xdr:colOff>
      <xdr:row>49</xdr:row>
      <xdr:rowOff>77754</xdr:rowOff>
    </xdr:to>
    <xdr:sp macro="" textlink="">
      <xdr:nvSpPr>
        <xdr:cNvPr id="57" name="Rectangle: Rounded Corners 56">
          <a:extLst>
            <a:ext uri="{FF2B5EF4-FFF2-40B4-BE49-F238E27FC236}">
              <a16:creationId xmlns:a16="http://schemas.microsoft.com/office/drawing/2014/main" id="{B2B27649-E1C8-3D52-771E-9835E1372800}"/>
            </a:ext>
          </a:extLst>
        </xdr:cNvPr>
        <xdr:cNvSpPr/>
      </xdr:nvSpPr>
      <xdr:spPr>
        <a:xfrm>
          <a:off x="5685841" y="6511989"/>
          <a:ext cx="6754974" cy="3090765"/>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522705</xdr:colOff>
      <xdr:row>36</xdr:row>
      <xdr:rowOff>30016</xdr:rowOff>
    </xdr:from>
    <xdr:to>
      <xdr:col>20</xdr:col>
      <xdr:colOff>20603</xdr:colOff>
      <xdr:row>48</xdr:row>
      <xdr:rowOff>142750</xdr:rowOff>
    </xdr:to>
    <xdr:graphicFrame macro="">
      <xdr:nvGraphicFramePr>
        <xdr:cNvPr id="58" name="Chart 57">
          <a:extLst>
            <a:ext uri="{FF2B5EF4-FFF2-40B4-BE49-F238E27FC236}">
              <a16:creationId xmlns:a16="http://schemas.microsoft.com/office/drawing/2014/main" id="{0D7C80AB-8FD6-4E38-84C4-EA05837BF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462996</xdr:colOff>
      <xdr:row>34</xdr:row>
      <xdr:rowOff>94985</xdr:rowOff>
    </xdr:from>
    <xdr:to>
      <xdr:col>12</xdr:col>
      <xdr:colOff>365803</xdr:colOff>
      <xdr:row>35</xdr:row>
      <xdr:rowOff>124143</xdr:rowOff>
    </xdr:to>
    <xdr:sp macro="" textlink="">
      <xdr:nvSpPr>
        <xdr:cNvPr id="59" name="TextBox 58">
          <a:extLst>
            <a:ext uri="{FF2B5EF4-FFF2-40B4-BE49-F238E27FC236}">
              <a16:creationId xmlns:a16="http://schemas.microsoft.com/office/drawing/2014/main" id="{1F6C6ACB-CFD6-B4F9-6C88-0D7825B5BC4A}"/>
            </a:ext>
          </a:extLst>
        </xdr:cNvPr>
        <xdr:cNvSpPr txBox="1"/>
      </xdr:nvSpPr>
      <xdr:spPr>
        <a:xfrm>
          <a:off x="5918223" y="6719190"/>
          <a:ext cx="1721216" cy="223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solidFill>
            </a:rPr>
            <a:t>REVENUE BY COUNTRY</a:t>
          </a:r>
        </a:p>
      </xdr:txBody>
    </xdr:sp>
    <xdr:clientData/>
  </xdr:twoCellAnchor>
  <xdr:twoCellAnchor>
    <xdr:from>
      <xdr:col>0</xdr:col>
      <xdr:colOff>273705</xdr:colOff>
      <xdr:row>36</xdr:row>
      <xdr:rowOff>65690</xdr:rowOff>
    </xdr:from>
    <xdr:to>
      <xdr:col>8</xdr:col>
      <xdr:colOff>459826</xdr:colOff>
      <xdr:row>46</xdr:row>
      <xdr:rowOff>142328</xdr:rowOff>
    </xdr:to>
    <xdr:graphicFrame macro="">
      <xdr:nvGraphicFramePr>
        <xdr:cNvPr id="60" name="Chart 59">
          <a:extLst>
            <a:ext uri="{FF2B5EF4-FFF2-40B4-BE49-F238E27FC236}">
              <a16:creationId xmlns:a16="http://schemas.microsoft.com/office/drawing/2014/main" id="{BE4AB8B1-8A92-4FB4-BBE1-AF0E14655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340823</xdr:colOff>
      <xdr:row>11</xdr:row>
      <xdr:rowOff>171744</xdr:rowOff>
    </xdr:from>
    <xdr:to>
      <xdr:col>4</xdr:col>
      <xdr:colOff>1269622</xdr:colOff>
      <xdr:row>16</xdr:row>
      <xdr:rowOff>9820</xdr:rowOff>
    </xdr:to>
    <mc:AlternateContent xmlns:mc="http://schemas.openxmlformats.org/markup-compatibility/2006" xmlns:a14="http://schemas.microsoft.com/office/drawing/2010/main">
      <mc:Choice Requires="a14">
        <xdr:graphicFrame macro="">
          <xdr:nvGraphicFramePr>
            <xdr:cNvPr id="7" name="Room Type">
              <a:extLst>
                <a:ext uri="{FF2B5EF4-FFF2-40B4-BE49-F238E27FC236}">
                  <a16:creationId xmlns:a16="http://schemas.microsoft.com/office/drawing/2014/main" id="{7FBAEF22-892C-D984-3A0C-F508E5376B15}"/>
                </a:ext>
              </a:extLst>
            </xdr:cNvPr>
            <xdr:cNvGraphicFramePr/>
          </xdr:nvGraphicFramePr>
          <xdr:xfrm>
            <a:off x="0" y="0"/>
            <a:ext cx="0" cy="0"/>
          </xdr:xfrm>
          <a:graphic>
            <a:graphicData uri="http://schemas.microsoft.com/office/drawing/2010/slicer">
              <sle:slicer xmlns:sle="http://schemas.microsoft.com/office/drawing/2010/slicer" name="Room Type"/>
            </a:graphicData>
          </a:graphic>
        </xdr:graphicFrame>
      </mc:Choice>
      <mc:Fallback xmlns="">
        <xdr:sp macro="" textlink="">
          <xdr:nvSpPr>
            <xdr:cNvPr id="0" name=""/>
            <xdr:cNvSpPr>
              <a:spLocks noTextEdit="1"/>
            </xdr:cNvSpPr>
          </xdr:nvSpPr>
          <xdr:spPr>
            <a:xfrm>
              <a:off x="3237201" y="2310009"/>
              <a:ext cx="1822982" cy="810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318445</xdr:colOff>
      <xdr:row>18</xdr:row>
      <xdr:rowOff>39799</xdr:rowOff>
    </xdr:from>
    <xdr:to>
      <xdr:col>4</xdr:col>
      <xdr:colOff>1253662</xdr:colOff>
      <xdr:row>22</xdr:row>
      <xdr:rowOff>88995</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03D7D1CC-D7A4-4E4F-5A14-FB3E6F5B19B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214823" y="3538779"/>
              <a:ext cx="1829400" cy="826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193320</xdr:colOff>
      <xdr:row>15</xdr:row>
      <xdr:rowOff>113033</xdr:rowOff>
    </xdr:from>
    <xdr:to>
      <xdr:col>7</xdr:col>
      <xdr:colOff>757151</xdr:colOff>
      <xdr:row>22</xdr:row>
      <xdr:rowOff>167139</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4DB766F5-4699-C5A9-48FD-ED086B71C47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869442" y="3028849"/>
              <a:ext cx="1837071" cy="1414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46388</xdr:colOff>
      <xdr:row>12</xdr:row>
      <xdr:rowOff>49619</xdr:rowOff>
    </xdr:from>
    <xdr:to>
      <xdr:col>9</xdr:col>
      <xdr:colOff>5375</xdr:colOff>
      <xdr:row>15</xdr:row>
      <xdr:rowOff>16332</xdr:rowOff>
    </xdr:to>
    <mc:AlternateContent xmlns:mc="http://schemas.openxmlformats.org/markup-compatibility/2006" xmlns:a14="http://schemas.microsoft.com/office/drawing/2010/main">
      <mc:Choice Requires="a14">
        <xdr:graphicFrame macro="">
          <xdr:nvGraphicFramePr>
            <xdr:cNvPr id="11" name="Booking Status">
              <a:extLst>
                <a:ext uri="{FF2B5EF4-FFF2-40B4-BE49-F238E27FC236}">
                  <a16:creationId xmlns:a16="http://schemas.microsoft.com/office/drawing/2014/main" id="{DD0B2749-1520-DEE6-2132-4F3DCAEC10D4}"/>
                </a:ext>
              </a:extLst>
            </xdr:cNvPr>
            <xdr:cNvGraphicFramePr/>
          </xdr:nvGraphicFramePr>
          <xdr:xfrm>
            <a:off x="0" y="0"/>
            <a:ext cx="0" cy="0"/>
          </xdr:xfrm>
          <a:graphic>
            <a:graphicData uri="http://schemas.microsoft.com/office/drawing/2010/slicer">
              <sle:slicer xmlns:sle="http://schemas.microsoft.com/office/drawing/2010/slicer" name="Booking Status"/>
            </a:graphicData>
          </a:graphic>
        </xdr:graphicFrame>
      </mc:Choice>
      <mc:Fallback xmlns="">
        <xdr:sp macro="" textlink="">
          <xdr:nvSpPr>
            <xdr:cNvPr id="0" name=""/>
            <xdr:cNvSpPr>
              <a:spLocks noTextEdit="1"/>
            </xdr:cNvSpPr>
          </xdr:nvSpPr>
          <xdr:spPr>
            <a:xfrm>
              <a:off x="5722510" y="2382272"/>
              <a:ext cx="3020595" cy="549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85.915633912038" createdVersion="8" refreshedVersion="8" minRefreshableVersion="3" recordCount="16" xr:uid="{F6DDD717-DE99-4A03-B62A-313D7FE61358}">
  <cacheSource type="worksheet">
    <worksheetSource ref="A1:N1048576" sheet="Hotel Booking "/>
  </cacheSource>
  <cacheFields count="14">
    <cacheField name="Booking ID" numFmtId="0">
      <sharedItems containsBlank="1"/>
    </cacheField>
    <cacheField name="Booking Date" numFmtId="0">
      <sharedItems containsNonDate="0" containsDate="1" containsString="0" containsBlank="1" minDate="2026-01-02T00:00:00" maxDate="2026-02-16T00:00:00"/>
    </cacheField>
    <cacheField name="Check-in Date" numFmtId="14">
      <sharedItems containsNonDate="0" containsDate="1" containsString="0" containsBlank="1" minDate="2026-01-15T00:00:00" maxDate="2026-12-03T00:00:00"/>
    </cacheField>
    <cacheField name="Room Type" numFmtId="0">
      <sharedItems containsBlank="1" count="5">
        <s v="Standard"/>
        <s v="Deluxe"/>
        <s v="Suite"/>
        <s v="Executive"/>
        <m/>
      </sharedItems>
    </cacheField>
    <cacheField name="Customer Type" numFmtId="0">
      <sharedItems containsBlank="1" count="5">
        <s v="Individual"/>
        <s v="Couple"/>
        <s v="Family"/>
        <s v="Corporate"/>
        <m/>
      </sharedItems>
    </cacheField>
    <cacheField name="Country" numFmtId="0">
      <sharedItems containsBlank="1" count="9">
        <s v="India"/>
        <s v="UAE"/>
        <s v="UK"/>
        <s v="Singapore"/>
        <s v="USA"/>
        <s v="Malaysia"/>
        <s v="Canada"/>
        <s v="Australia"/>
        <m/>
      </sharedItems>
    </cacheField>
    <cacheField name="Guests" numFmtId="0">
      <sharedItems containsString="0" containsBlank="1" containsNumber="1" containsInteger="1" minValue="1" maxValue="4"/>
    </cacheField>
    <cacheField name="Nights" numFmtId="0">
      <sharedItems containsString="0" containsBlank="1" containsNumber="1" containsInteger="1" minValue="2" maxValue="4"/>
    </cacheField>
    <cacheField name="Booking Status" numFmtId="0">
      <sharedItems containsBlank="1" count="4">
        <s v="Completed"/>
        <s v="Confirmed"/>
        <s v="Cancelled"/>
        <m/>
      </sharedItems>
    </cacheField>
    <cacheField name="Room Price" numFmtId="0">
      <sharedItems containsString="0" containsBlank="1" containsNumber="1" containsInteger="1" minValue="2200" maxValue="6000"/>
    </cacheField>
    <cacheField name="Total Revenue" numFmtId="0">
      <sharedItems containsString="0" containsBlank="1" containsNumber="1" containsInteger="1" minValue="0" maxValue="48000" count="10">
        <n v="8800"/>
        <n v="21000"/>
        <n v="48000"/>
        <n v="36000"/>
        <n v="0"/>
        <n v="7000"/>
        <n v="27000"/>
        <n v="13200"/>
        <n v="26400"/>
        <m/>
      </sharedItems>
    </cacheField>
    <cacheField name="Payment Method" numFmtId="0">
      <sharedItems containsBlank="1"/>
    </cacheField>
    <cacheField name="Field13" caption="Field13" numFmtId="0">
      <sharedItems containsNonDate="0" containsString="0" containsBlank="1"/>
    </cacheField>
    <cacheField name="Total Revenue2" numFmtId="0">
      <sharedItems containsBlank="1" containsMixedTypes="1" containsNumber="1" minValue="2" maxValue="314200"/>
    </cacheField>
  </cacheFields>
  <extLst>
    <ext xmlns:x14="http://schemas.microsoft.com/office/spreadsheetml/2009/9/main" uri="{725AE2AE-9491-48be-B2B4-4EB974FC3084}">
      <x14:pivotCacheDefinition pivotCacheId="1361837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HB001"/>
    <d v="2026-01-02T00:00:00"/>
    <d v="2026-05-01T00:00:00"/>
    <x v="0"/>
    <x v="0"/>
    <x v="0"/>
    <n v="2"/>
    <n v="2"/>
    <x v="0"/>
    <n v="2200"/>
    <x v="0"/>
    <s v="UPI"/>
    <m/>
    <n v="314200"/>
  </r>
  <r>
    <s v="HB002"/>
    <d v="2026-01-04T00:00:00"/>
    <d v="2026-10-01T00:00:00"/>
    <x v="1"/>
    <x v="1"/>
    <x v="1"/>
    <n v="2"/>
    <n v="3"/>
    <x v="1"/>
    <n v="3500"/>
    <x v="1"/>
    <s v="Card"/>
    <m/>
    <s v="Total Bookings"/>
  </r>
  <r>
    <s v="HB003"/>
    <d v="2026-01-07T00:00:00"/>
    <d v="2026-12-01T00:00:00"/>
    <x v="2"/>
    <x v="2"/>
    <x v="0"/>
    <n v="4"/>
    <n v="2"/>
    <x v="0"/>
    <n v="6000"/>
    <x v="2"/>
    <s v="Net Banking"/>
    <m/>
    <n v="15"/>
  </r>
  <r>
    <s v="HB004"/>
    <d v="2026-01-10T00:00:00"/>
    <d v="2026-01-15T00:00:00"/>
    <x v="3"/>
    <x v="3"/>
    <x v="2"/>
    <n v="2"/>
    <n v="4"/>
    <x v="1"/>
    <n v="4500"/>
    <x v="3"/>
    <s v="Card"/>
    <m/>
    <s v="Average Length of Stay (Nights)"/>
  </r>
  <r>
    <s v="HB005"/>
    <d v="2026-01-13T00:00:00"/>
    <d v="2026-01-18T00:00:00"/>
    <x v="0"/>
    <x v="2"/>
    <x v="3"/>
    <n v="3"/>
    <n v="3"/>
    <x v="2"/>
    <n v="2200"/>
    <x v="4"/>
    <s v="UPI"/>
    <m/>
    <n v="2.6666666666666665"/>
  </r>
  <r>
    <s v="HB006"/>
    <d v="2026-01-16T00:00:00"/>
    <d v="2026-01-20T00:00:00"/>
    <x v="1"/>
    <x v="0"/>
    <x v="0"/>
    <n v="1"/>
    <n v="2"/>
    <x v="0"/>
    <n v="3500"/>
    <x v="5"/>
    <s v="Cash"/>
    <m/>
    <s v="Cancellation Rate"/>
  </r>
  <r>
    <s v="HB007"/>
    <d v="2026-01-20T00:00:00"/>
    <d v="2026-01-25T00:00:00"/>
    <x v="2"/>
    <x v="1"/>
    <x v="4"/>
    <n v="2"/>
    <n v="3"/>
    <x v="1"/>
    <n v="6000"/>
    <x v="3"/>
    <s v="Card"/>
    <m/>
    <n v="2"/>
  </r>
  <r>
    <s v="HB008"/>
    <d v="2026-01-23T00:00:00"/>
    <d v="2026-01-28T00:00:00"/>
    <x v="3"/>
    <x v="3"/>
    <x v="0"/>
    <n v="3"/>
    <n v="2"/>
    <x v="0"/>
    <n v="4500"/>
    <x v="6"/>
    <s v="UPI"/>
    <m/>
    <m/>
  </r>
  <r>
    <s v="HB009"/>
    <d v="2026-01-27T00:00:00"/>
    <d v="2026-02-02T00:00:00"/>
    <x v="0"/>
    <x v="0"/>
    <x v="5"/>
    <n v="1"/>
    <n v="4"/>
    <x v="1"/>
    <n v="2200"/>
    <x v="0"/>
    <s v="Cash"/>
    <m/>
    <m/>
  </r>
  <r>
    <s v="HB010"/>
    <d v="2026-01-30T00:00:00"/>
    <d v="2026-05-02T00:00:00"/>
    <x v="1"/>
    <x v="2"/>
    <x v="6"/>
    <n v="4"/>
    <n v="2"/>
    <x v="2"/>
    <n v="3500"/>
    <x v="4"/>
    <s v="Card"/>
    <m/>
    <m/>
  </r>
  <r>
    <s v="HB011"/>
    <d v="2026-02-03T00:00:00"/>
    <d v="2026-08-02T00:00:00"/>
    <x v="0"/>
    <x v="1"/>
    <x v="0"/>
    <n v="2"/>
    <n v="3"/>
    <x v="0"/>
    <n v="2200"/>
    <x v="7"/>
    <s v="UPI"/>
    <m/>
    <m/>
  </r>
  <r>
    <s v="HB012"/>
    <d v="2026-02-06T00:00:00"/>
    <d v="2026-12-02T00:00:00"/>
    <x v="2"/>
    <x v="2"/>
    <x v="7"/>
    <n v="4"/>
    <n v="2"/>
    <x v="1"/>
    <n v="6000"/>
    <x v="2"/>
    <s v="Net Banking"/>
    <m/>
    <m/>
  </r>
  <r>
    <s v="HB013"/>
    <d v="2026-02-09T00:00:00"/>
    <d v="2026-02-14T00:00:00"/>
    <x v="3"/>
    <x v="3"/>
    <x v="1"/>
    <n v="2"/>
    <n v="3"/>
    <x v="0"/>
    <n v="4500"/>
    <x v="6"/>
    <s v="Card"/>
    <m/>
    <m/>
  </r>
  <r>
    <s v="HB014"/>
    <d v="2026-02-12T00:00:00"/>
    <d v="2026-02-18T00:00:00"/>
    <x v="1"/>
    <x v="0"/>
    <x v="2"/>
    <n v="1"/>
    <n v="2"/>
    <x v="1"/>
    <n v="3500"/>
    <x v="5"/>
    <s v="UPI"/>
    <m/>
    <m/>
  </r>
  <r>
    <s v="HB015"/>
    <d v="2026-02-15T00:00:00"/>
    <d v="2026-02-20T00:00:00"/>
    <x v="0"/>
    <x v="2"/>
    <x v="0"/>
    <n v="4"/>
    <n v="3"/>
    <x v="0"/>
    <n v="2200"/>
    <x v="8"/>
    <s v="Cash"/>
    <m/>
    <m/>
  </r>
  <r>
    <m/>
    <m/>
    <m/>
    <x v="4"/>
    <x v="4"/>
    <x v="8"/>
    <m/>
    <m/>
    <x v="3"/>
    <m/>
    <x v="9"/>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FFC00E-FDFF-494E-B4FB-7E255E83C4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4">
    <pivotField showAll="0"/>
    <pivotField showAll="0"/>
    <pivotField showAll="0"/>
    <pivotField axis="axisRow" showAll="0">
      <items count="6">
        <item x="1"/>
        <item x="3"/>
        <item x="0"/>
        <item x="2"/>
        <item h="1" x="4"/>
        <item t="default"/>
      </items>
    </pivotField>
    <pivotField showAll="0">
      <items count="6">
        <item x="3"/>
        <item x="1"/>
        <item x="2"/>
        <item x="0"/>
        <item x="4"/>
        <item t="default"/>
      </items>
    </pivotField>
    <pivotField showAll="0">
      <items count="10">
        <item x="7"/>
        <item x="6"/>
        <item x="0"/>
        <item x="5"/>
        <item x="3"/>
        <item x="1"/>
        <item x="2"/>
        <item x="4"/>
        <item x="8"/>
        <item t="default"/>
      </items>
    </pivotField>
    <pivotField showAll="0"/>
    <pivotField showAll="0"/>
    <pivotField showAll="0">
      <items count="5">
        <item x="2"/>
        <item x="0"/>
        <item x="1"/>
        <item x="3"/>
        <item t="default"/>
      </items>
    </pivotField>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Sum of Total Revenue" fld="10" baseField="3" baseItem="0" numFmtId="164"/>
  </dataFields>
  <formats count="1">
    <format dxfId="14">
      <pivotArea collapsedLevelsAreSubtotals="1" fieldPosition="0">
        <references count="1">
          <reference field="3" count="1">
            <x v="0"/>
          </reference>
        </references>
      </pivotArea>
    </format>
  </formats>
  <chartFormats count="2">
    <chartFormat chart="1"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8B3375-6A04-4786-A602-4DA6E51FA94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21" firstHeaderRow="1" firstDataRow="1" firstDataCol="1"/>
  <pivotFields count="14">
    <pivotField showAll="0"/>
    <pivotField showAll="0"/>
    <pivotField showAll="0"/>
    <pivotField showAll="0">
      <items count="6">
        <item x="1"/>
        <item x="3"/>
        <item x="0"/>
        <item x="2"/>
        <item h="1" x="4"/>
        <item t="default"/>
      </items>
    </pivotField>
    <pivotField showAll="0">
      <items count="6">
        <item x="3"/>
        <item x="1"/>
        <item x="2"/>
        <item x="0"/>
        <item x="4"/>
        <item t="default"/>
      </items>
    </pivotField>
    <pivotField axis="axisRow" showAll="0">
      <items count="10">
        <item x="7"/>
        <item x="6"/>
        <item x="0"/>
        <item x="5"/>
        <item x="3"/>
        <item x="1"/>
        <item x="2"/>
        <item x="4"/>
        <item x="8"/>
        <item t="default"/>
      </items>
    </pivotField>
    <pivotField showAll="0"/>
    <pivotField showAll="0"/>
    <pivotField showAll="0">
      <items count="5">
        <item x="2"/>
        <item x="0"/>
        <item x="1"/>
        <item x="3"/>
        <item t="default"/>
      </items>
    </pivotField>
    <pivotField showAll="0"/>
    <pivotField dataField="1"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Sum of Total Revenue" fld="10" baseField="5" baseItem="0" numFmtId="164"/>
  </dataFields>
  <chartFormats count="7">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6" format="17">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2">
          <reference field="4294967294" count="1" selected="0">
            <x v="0"/>
          </reference>
          <reference field="5" count="1" selected="0">
            <x v="5"/>
          </reference>
        </references>
      </pivotArea>
    </chartFormat>
    <chartFormat chart="6" format="19">
      <pivotArea type="data" outline="0" fieldPosition="0">
        <references count="2">
          <reference field="4294967294" count="1" selected="0">
            <x v="0"/>
          </reference>
          <reference field="5" count="1" selected="0">
            <x v="6"/>
          </reference>
        </references>
      </pivotArea>
    </chartFormat>
    <chartFormat chart="6" format="20">
      <pivotArea type="data" outline="0" fieldPosition="0">
        <references count="2">
          <reference field="4294967294" count="1" selected="0">
            <x v="0"/>
          </reference>
          <reference field="5" count="1" selected="0">
            <x v="7"/>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C7D7C9-9E2C-4F57-ABE2-FFC08A38685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L9" firstHeaderRow="1" firstDataRow="2" firstDataCol="1"/>
  <pivotFields count="14">
    <pivotField dataField="1" showAll="0"/>
    <pivotField showAll="0"/>
    <pivotField showAll="0"/>
    <pivotField axis="axisCol" showAll="0">
      <items count="6">
        <item x="1"/>
        <item x="3"/>
        <item x="0"/>
        <item x="2"/>
        <item h="1" x="4"/>
        <item t="default"/>
      </items>
    </pivotField>
    <pivotField axis="axisRow" showAll="0">
      <items count="6">
        <item x="3"/>
        <item x="1"/>
        <item x="2"/>
        <item x="0"/>
        <item x="4"/>
        <item t="default"/>
      </items>
    </pivotField>
    <pivotField showAll="0">
      <items count="10">
        <item x="7"/>
        <item x="6"/>
        <item x="0"/>
        <item x="5"/>
        <item x="3"/>
        <item x="1"/>
        <item x="2"/>
        <item x="4"/>
        <item x="8"/>
        <item t="default"/>
      </items>
    </pivotField>
    <pivotField showAll="0"/>
    <pivotField showAll="0"/>
    <pivotField showAll="0">
      <items count="5">
        <item x="2"/>
        <item x="0"/>
        <item x="1"/>
        <item x="3"/>
        <item t="default"/>
      </items>
    </pivotField>
    <pivotField showAll="0"/>
    <pivotField showAll="0"/>
    <pivotField showAll="0"/>
    <pivotField showAll="0"/>
    <pivotField showAll="0"/>
  </pivotFields>
  <rowFields count="1">
    <field x="4"/>
  </rowFields>
  <rowItems count="5">
    <i>
      <x/>
    </i>
    <i>
      <x v="1"/>
    </i>
    <i>
      <x v="2"/>
    </i>
    <i>
      <x v="3"/>
    </i>
    <i t="grand">
      <x/>
    </i>
  </rowItems>
  <colFields count="1">
    <field x="3"/>
  </colFields>
  <colItems count="5">
    <i>
      <x/>
    </i>
    <i>
      <x v="1"/>
    </i>
    <i>
      <x v="2"/>
    </i>
    <i>
      <x v="3"/>
    </i>
    <i t="grand">
      <x/>
    </i>
  </colItems>
  <dataFields count="1">
    <dataField name="Count of Booking ID" fld="0" subtotal="count" baseField="0" baseItem="0"/>
  </dataFields>
  <chartFormats count="14">
    <chartFormat chart="4" format="7" series="1">
      <pivotArea type="data" outline="0" fieldPosition="0">
        <references count="2">
          <reference field="4294967294" count="1" selected="0">
            <x v="0"/>
          </reference>
          <reference field="3" count="1" selected="0">
            <x v="0"/>
          </reference>
        </references>
      </pivotArea>
    </chartFormat>
    <chartFormat chart="4" format="8" series="1">
      <pivotArea type="data" outline="0" fieldPosition="0">
        <references count="2">
          <reference field="4294967294" count="1" selected="0">
            <x v="0"/>
          </reference>
          <reference field="3" count="1" selected="0">
            <x v="1"/>
          </reference>
        </references>
      </pivotArea>
    </chartFormat>
    <chartFormat chart="4" format="9" series="1">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3">
          <reference field="4294967294" count="1" selected="0">
            <x v="0"/>
          </reference>
          <reference field="3" count="1" selected="0">
            <x v="2"/>
          </reference>
          <reference field="4" count="1" selected="0">
            <x v="1"/>
          </reference>
        </references>
      </pivotArea>
    </chartFormat>
    <chartFormat chart="4" format="11">
      <pivotArea type="data" outline="0" fieldPosition="0">
        <references count="3">
          <reference field="4294967294" count="1" selected="0">
            <x v="0"/>
          </reference>
          <reference field="3" count="1" selected="0">
            <x v="2"/>
          </reference>
          <reference field="4" count="1" selected="0">
            <x v="2"/>
          </reference>
        </references>
      </pivotArea>
    </chartFormat>
    <chartFormat chart="4" format="12">
      <pivotArea type="data" outline="0" fieldPosition="0">
        <references count="3">
          <reference field="4294967294" count="1" selected="0">
            <x v="0"/>
          </reference>
          <reference field="3" count="1" selected="0">
            <x v="2"/>
          </reference>
          <reference field="4" count="1" selected="0">
            <x v="3"/>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0"/>
          </reference>
        </references>
      </pivotArea>
    </chartFormat>
    <chartFormat chart="5" format="15" series="1">
      <pivotArea type="data" outline="0" fieldPosition="0">
        <references count="2">
          <reference field="4294967294" count="1" selected="0">
            <x v="0"/>
          </reference>
          <reference field="3" count="1" selected="0">
            <x v="1"/>
          </reference>
        </references>
      </pivotArea>
    </chartFormat>
    <chartFormat chart="5" format="16" series="1">
      <pivotArea type="data" outline="0" fieldPosition="0">
        <references count="2">
          <reference field="4294967294" count="1" selected="0">
            <x v="0"/>
          </reference>
          <reference field="3" count="1" selected="0">
            <x v="2"/>
          </reference>
        </references>
      </pivotArea>
    </chartFormat>
    <chartFormat chart="5" format="17">
      <pivotArea type="data" outline="0" fieldPosition="0">
        <references count="3">
          <reference field="4294967294" count="1" selected="0">
            <x v="0"/>
          </reference>
          <reference field="3" count="1" selected="0">
            <x v="2"/>
          </reference>
          <reference field="4" count="1" selected="0">
            <x v="1"/>
          </reference>
        </references>
      </pivotArea>
    </chartFormat>
    <chartFormat chart="5" format="18">
      <pivotArea type="data" outline="0" fieldPosition="0">
        <references count="3">
          <reference field="4294967294" count="1" selected="0">
            <x v="0"/>
          </reference>
          <reference field="3" count="1" selected="0">
            <x v="2"/>
          </reference>
          <reference field="4" count="1" selected="0">
            <x v="2"/>
          </reference>
        </references>
      </pivotArea>
    </chartFormat>
    <chartFormat chart="5" format="19">
      <pivotArea type="data" outline="0" fieldPosition="0">
        <references count="3">
          <reference field="4294967294" count="1" selected="0">
            <x v="0"/>
          </reference>
          <reference field="3" count="1" selected="0">
            <x v="2"/>
          </reference>
          <reference field="4" count="1" selected="0">
            <x v="3"/>
          </reference>
        </references>
      </pivotArea>
    </chartFormat>
    <chartFormat chart="5" format="20" series="1">
      <pivotArea type="data" outline="0" fieldPosition="0">
        <references count="2">
          <reference field="4294967294" count="1" selected="0">
            <x v="0"/>
          </reference>
          <reference field="3"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3C1921-439F-42FE-B00C-20A46A6CB6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7" firstHeaderRow="1" firstDataRow="1" firstDataCol="1"/>
  <pivotFields count="14">
    <pivotField dataField="1" showAll="0"/>
    <pivotField showAll="0"/>
    <pivotField showAll="0"/>
    <pivotField showAll="0">
      <items count="6">
        <item x="1"/>
        <item x="3"/>
        <item x="0"/>
        <item x="2"/>
        <item h="1" x="4"/>
        <item t="default"/>
      </items>
    </pivotField>
    <pivotField showAll="0">
      <items count="6">
        <item x="3"/>
        <item x="1"/>
        <item x="2"/>
        <item x="0"/>
        <item x="4"/>
        <item t="default"/>
      </items>
    </pivotField>
    <pivotField showAll="0">
      <items count="10">
        <item x="7"/>
        <item x="6"/>
        <item x="0"/>
        <item x="5"/>
        <item x="3"/>
        <item x="1"/>
        <item x="2"/>
        <item x="4"/>
        <item x="8"/>
        <item t="default"/>
      </items>
    </pivotField>
    <pivotField showAll="0"/>
    <pivotField showAll="0"/>
    <pivotField axis="axisRow" showAll="0">
      <items count="5">
        <item x="2"/>
        <item x="0"/>
        <item x="1"/>
        <item x="3"/>
        <item t="default"/>
      </items>
    </pivotField>
    <pivotField showAll="0"/>
    <pivotField showAll="0"/>
    <pivotField showAll="0"/>
    <pivotField showAll="0"/>
    <pivotField showAll="0"/>
  </pivotFields>
  <rowFields count="1">
    <field x="8"/>
  </rowFields>
  <rowItems count="4">
    <i>
      <x/>
    </i>
    <i>
      <x v="1"/>
    </i>
    <i>
      <x v="2"/>
    </i>
    <i t="grand">
      <x/>
    </i>
  </rowItems>
  <colItems count="1">
    <i/>
  </colItems>
  <dataFields count="1">
    <dataField name="Count of Booking ID" fld="0" subtotal="count" baseField="0" baseItem="0"/>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8" count="1" selected="0">
            <x v="0"/>
          </reference>
        </references>
      </pivotArea>
    </chartFormat>
    <chartFormat chart="8" format="10">
      <pivotArea type="data" outline="0" fieldPosition="0">
        <references count="2">
          <reference field="4294967294" count="1" selected="0">
            <x v="0"/>
          </reference>
          <reference field="8" count="1" selected="0">
            <x v="1"/>
          </reference>
        </references>
      </pivotArea>
    </chartFormat>
    <chartFormat chart="8" format="11">
      <pivotArea type="data" outline="0" fieldPosition="0">
        <references count="2">
          <reference field="4294967294" count="1" selected="0">
            <x v="0"/>
          </reference>
          <reference field="8"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E1EA4A5B-F19B-4BCE-BA29-5931609DEF31}" sourceName="Room Type">
  <pivotTables>
    <pivotTable tabId="2" name="PivotTable1"/>
    <pivotTable tabId="2" name="PivotTable2"/>
    <pivotTable tabId="2" name="PivotTable3"/>
    <pivotTable tabId="2" name="PivotTable4"/>
  </pivotTables>
  <data>
    <tabular pivotCacheId="1361837208">
      <items count="5">
        <i x="1" s="1"/>
        <i x="3" s="1"/>
        <i x="0" s="1"/>
        <i x="2"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890CC8E-F703-4C88-AF12-E7083702977E}" sourceName="Customer Type">
  <pivotTables>
    <pivotTable tabId="2" name="PivotTable1"/>
    <pivotTable tabId="2" name="PivotTable2"/>
    <pivotTable tabId="2" name="PivotTable3"/>
    <pivotTable tabId="2" name="PivotTable4"/>
  </pivotTables>
  <data>
    <tabular pivotCacheId="1361837208">
      <items count="5">
        <i x="3" s="1"/>
        <i x="1" s="1"/>
        <i x="2" s="1"/>
        <i x="0"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539D255-A6CF-4C3D-88B9-FA8338E68A5F}" sourceName="Country">
  <pivotTables>
    <pivotTable tabId="2" name="PivotTable1"/>
    <pivotTable tabId="2" name="PivotTable2"/>
    <pivotTable tabId="2" name="PivotTable3"/>
    <pivotTable tabId="2" name="PivotTable4"/>
  </pivotTables>
  <data>
    <tabular pivotCacheId="1361837208">
      <items count="9">
        <i x="7" s="1"/>
        <i x="6" s="1"/>
        <i x="0" s="1"/>
        <i x="5" s="1"/>
        <i x="3" s="1"/>
        <i x="1" s="1"/>
        <i x="2" s="1"/>
        <i x="4" s="1"/>
        <i x="8"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FA107535-9172-47AD-8D05-F5E6D9B892E8}" sourceName="Booking Status">
  <pivotTables>
    <pivotTable tabId="2" name="PivotTable1"/>
    <pivotTable tabId="2" name="PivotTable2"/>
    <pivotTable tabId="2" name="PivotTable3"/>
    <pivotTable tabId="2" name="PivotTable4"/>
  </pivotTables>
  <data>
    <tabular pivotCacheId="1361837208">
      <items count="4">
        <i x="2" s="1"/>
        <i x="0"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 Type 1" xr10:uid="{80DEED6F-DDDC-4E84-8683-63129B285AD2}" cache="Slicer_Room_Type" caption="Room Type" columnCount="2" showCaption="0" style="SlicerStyleDark1" rowHeight="257175"/>
  <slicer name="Customer Type 1" xr10:uid="{5FE5CBC3-03E2-4579-832F-36D316ADA095}" cache="Slicer_Customer_Type" caption="Customer Type" columnCount="2" showCaption="0" style="SlicerStyleDark1" rowHeight="257175"/>
  <slicer name="Country 1" xr10:uid="{1D7D32C6-C2E4-4267-A773-DE77920A9ADE}" cache="Slicer_Country" caption="Country" columnCount="2" showCaption="0" style="SlicerStyleDark1" rowHeight="257175"/>
  <slicer name="Booking Status 1" xr10:uid="{95A27698-0C1A-4B57-9E95-B932E24042E3}" cache="Slicer_Booking_Status" caption="Booking Status" columnCount="3" showCaption="0" style="SlicerStyleDark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 Type" xr10:uid="{FAE91279-D56D-4158-B00C-333211FE21F3}" cache="Slicer_Room_Type" caption="Room Type" columnCount="2" showCaption="0" style="SlicerStyleDark1" rowHeight="257175"/>
  <slicer name="Customer Type" xr10:uid="{D5132E66-458F-4730-A3F1-268C2CA28810}" cache="Slicer_Customer_Type" caption="Customer Type" columnCount="2" showCaption="0" style="SlicerStyleDark1" rowHeight="257175"/>
  <slicer name="Country" xr10:uid="{4F3BB344-7F68-4682-9389-36F20BA5D083}" cache="Slicer_Country" caption="Country" columnCount="2" showCaption="0" style="SlicerStyleDark1" rowHeight="257175"/>
  <slicer name="Booking Status" xr10:uid="{71D5C20C-9F48-4932-9F99-69F7ADC2852F}" cache="Slicer_Booking_Status" caption="Booking Status" columnCount="3" showCaption="0"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318538-0538-47DF-A729-15CC679CF6AE}" name="Table1" displayName="Table1" ref="A1:L16" totalsRowShown="0" headerRowDxfId="13" dataDxfId="12">
  <autoFilter ref="A1:L16" xr:uid="{CA318538-0538-47DF-A729-15CC679CF6AE}"/>
  <tableColumns count="12">
    <tableColumn id="1" xr3:uid="{581C7B06-A752-4FFD-B25E-5C0C4F3719DC}" name="Booking ID" dataDxfId="11"/>
    <tableColumn id="2" xr3:uid="{BA912347-6C4E-4BFD-8BAB-0F8175B2315F}" name="Booking Date" dataDxfId="10"/>
    <tableColumn id="3" xr3:uid="{8619BE65-9413-42E1-B072-EA33BC8377A9}" name="Check-in Date" dataDxfId="9"/>
    <tableColumn id="4" xr3:uid="{9FF7EB60-DC3A-4927-98A4-57B5EC632977}" name="Room Type" dataDxfId="8"/>
    <tableColumn id="5" xr3:uid="{10E686CA-F875-4C27-97CC-5FE044074917}" name="Customer Type" dataDxfId="7"/>
    <tableColumn id="6" xr3:uid="{F090C100-11C5-45E6-B2DA-5B23EFE494CD}" name="Country" dataDxfId="6"/>
    <tableColumn id="7" xr3:uid="{575F94D0-CDF1-43A5-B23E-4F2F651BEE01}" name="Guests" dataDxfId="5"/>
    <tableColumn id="8" xr3:uid="{41BAFC60-FF37-400B-A778-5A3897832F5F}" name="Nights" dataDxfId="4"/>
    <tableColumn id="9" xr3:uid="{D06C9325-E177-4E04-95E1-DE68F954091D}" name="Booking Status" dataDxfId="3"/>
    <tableColumn id="10" xr3:uid="{16C8FA2F-BE3B-4783-BA8E-85B1532BE7A6}" name="Room Price" dataDxfId="2"/>
    <tableColumn id="11" xr3:uid="{CD3CB52D-E731-431E-9EEF-644A57CACAE3}" name="Total Revenue" dataDxfId="1"/>
    <tableColumn id="12" xr3:uid="{645A28A2-77EF-47B0-8336-6D3853EBC334}" name="Payment Method"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07C401-F688-4719-9F61-DA5894A98C00}" name="Table3" displayName="Table3" ref="N1:N2" totalsRowShown="0">
  <autoFilter ref="N1:N2" xr:uid="{D907C401-F688-4719-9F61-DA5894A98C00}"/>
  <tableColumns count="1">
    <tableColumn id="1" xr3:uid="{D3601D93-F123-436D-B4B0-0AABFCBA5134}" name="Total Revenue">
      <calculatedColumnFormula>SUM(K:K)</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08DB69-7262-4D1D-A263-9E7CC409E883}" name="Table4" displayName="Table4" ref="N3:N4" totalsRowShown="0">
  <autoFilter ref="N3:N4" xr:uid="{4508DB69-7262-4D1D-A263-9E7CC409E883}"/>
  <tableColumns count="1">
    <tableColumn id="1" xr3:uid="{4EC4B13D-B2AC-476A-8EC4-59655D9FBEA5}" name="Total Bookings">
      <calculatedColumnFormula>COUNTA(A:A)-1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4FBED0-1A5D-4DE3-9A0B-2E8EF18DA516}" name="Table5" displayName="Table5" ref="N5:N6" totalsRowShown="0">
  <autoFilter ref="N5:N6" xr:uid="{214FBED0-1A5D-4DE3-9A0B-2E8EF18DA516}"/>
  <tableColumns count="1">
    <tableColumn id="1" xr3:uid="{7C92E939-924F-4427-90B9-58A54C55802C}" name="Average Length of Stay (Nights)">
      <calculatedColumnFormula>AVERAGE(H:H)</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DA4E88-FFF4-4772-A0E7-003105EDB4D3}" name="Table6" displayName="Table6" ref="N7:N8" totalsRowShown="0">
  <autoFilter ref="N7:N8" xr:uid="{2EDA4E88-FFF4-4772-A0E7-003105EDB4D3}"/>
  <tableColumns count="1">
    <tableColumn id="1" xr3:uid="{8405E5B0-DEE6-4905-8B53-0DBC021EC1A5}" name="Cancellation Rate">
      <calculatedColumnFormula>COUNTIF(I:I,"Cancelled")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8535B-32FF-4488-99B7-54D4D35F6188}">
  <dimension ref="W38:W48"/>
  <sheetViews>
    <sheetView showGridLines="0" showRowColHeaders="0" tabSelected="1" zoomScale="66" zoomScaleNormal="66" workbookViewId="0">
      <selection activeCell="AF69" sqref="AF69"/>
    </sheetView>
  </sheetViews>
  <sheetFormatPr defaultRowHeight="15" x14ac:dyDescent="0.25"/>
  <cols>
    <col min="21" max="21" width="9.140625" customWidth="1"/>
  </cols>
  <sheetData>
    <row r="38" spans="23:23" s="11" customFormat="1" x14ac:dyDescent="0.25"/>
    <row r="48" spans="23:23" x14ac:dyDescent="0.25">
      <c r="W4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F5ADE-5753-45B7-B8BE-8693FB8712DC}">
  <dimension ref="A3:Q29"/>
  <sheetViews>
    <sheetView topLeftCell="A11" zoomScale="98" zoomScaleNormal="98" workbookViewId="0">
      <selection activeCell="B29" sqref="B29"/>
    </sheetView>
  </sheetViews>
  <sheetFormatPr defaultRowHeight="15" x14ac:dyDescent="0.25"/>
  <cols>
    <col min="1" max="1" width="13.42578125" bestFit="1" customWidth="1"/>
    <col min="2" max="2" width="20.85546875" bestFit="1" customWidth="1"/>
    <col min="4" max="4" width="13.42578125" bestFit="1" customWidth="1"/>
    <col min="5" max="5" width="19.140625" bestFit="1" customWidth="1"/>
    <col min="7" max="7" width="19.140625" bestFit="1" customWidth="1"/>
    <col min="8" max="8" width="16.85546875" bestFit="1" customWidth="1"/>
    <col min="9" max="9" width="9.85546875" bestFit="1" customWidth="1"/>
    <col min="10" max="10" width="9" bestFit="1" customWidth="1"/>
    <col min="11" max="11" width="5.7109375" bestFit="1" customWidth="1"/>
    <col min="12" max="13" width="11.28515625" bestFit="1" customWidth="1"/>
  </cols>
  <sheetData>
    <row r="3" spans="1:12" x14ac:dyDescent="0.25">
      <c r="A3" s="6" t="s">
        <v>53</v>
      </c>
      <c r="B3" t="s">
        <v>55</v>
      </c>
      <c r="D3" s="6" t="s">
        <v>53</v>
      </c>
      <c r="E3" t="s">
        <v>56</v>
      </c>
      <c r="G3" s="6" t="s">
        <v>56</v>
      </c>
      <c r="H3" s="6" t="s">
        <v>57</v>
      </c>
    </row>
    <row r="4" spans="1:12" x14ac:dyDescent="0.25">
      <c r="A4" s="7" t="s">
        <v>19</v>
      </c>
      <c r="B4" s="9">
        <v>35000</v>
      </c>
      <c r="D4" s="7" t="s">
        <v>34</v>
      </c>
      <c r="E4">
        <v>2</v>
      </c>
      <c r="G4" s="6" t="s">
        <v>53</v>
      </c>
      <c r="H4" t="s">
        <v>19</v>
      </c>
      <c r="I4" t="s">
        <v>29</v>
      </c>
      <c r="J4" t="s">
        <v>13</v>
      </c>
      <c r="K4" t="s">
        <v>25</v>
      </c>
      <c r="L4" t="s">
        <v>54</v>
      </c>
    </row>
    <row r="5" spans="1:12" x14ac:dyDescent="0.25">
      <c r="A5" s="7" t="s">
        <v>29</v>
      </c>
      <c r="B5" s="8">
        <v>90000</v>
      </c>
      <c r="D5" s="7" t="s">
        <v>16</v>
      </c>
      <c r="E5">
        <v>7</v>
      </c>
      <c r="G5" s="7" t="s">
        <v>30</v>
      </c>
      <c r="I5">
        <v>3</v>
      </c>
      <c r="L5">
        <v>3</v>
      </c>
    </row>
    <row r="6" spans="1:12" x14ac:dyDescent="0.25">
      <c r="A6" s="7" t="s">
        <v>13</v>
      </c>
      <c r="B6" s="8">
        <v>57200</v>
      </c>
      <c r="D6" s="7" t="s">
        <v>22</v>
      </c>
      <c r="E6">
        <v>6</v>
      </c>
      <c r="G6" s="7" t="s">
        <v>20</v>
      </c>
      <c r="H6">
        <v>1</v>
      </c>
      <c r="J6">
        <v>1</v>
      </c>
      <c r="K6">
        <v>1</v>
      </c>
      <c r="L6">
        <v>3</v>
      </c>
    </row>
    <row r="7" spans="1:12" x14ac:dyDescent="0.25">
      <c r="A7" s="7" t="s">
        <v>25</v>
      </c>
      <c r="B7" s="8">
        <v>132000</v>
      </c>
      <c r="D7" s="7" t="s">
        <v>54</v>
      </c>
      <c r="E7">
        <v>15</v>
      </c>
      <c r="G7" s="7" t="s">
        <v>26</v>
      </c>
      <c r="H7">
        <v>1</v>
      </c>
      <c r="J7">
        <v>2</v>
      </c>
      <c r="K7">
        <v>2</v>
      </c>
      <c r="L7">
        <v>5</v>
      </c>
    </row>
    <row r="8" spans="1:12" x14ac:dyDescent="0.25">
      <c r="A8" s="7" t="s">
        <v>54</v>
      </c>
      <c r="B8" s="8">
        <v>314200</v>
      </c>
      <c r="G8" s="7" t="s">
        <v>14</v>
      </c>
      <c r="H8">
        <v>2</v>
      </c>
      <c r="J8">
        <v>2</v>
      </c>
      <c r="L8">
        <v>4</v>
      </c>
    </row>
    <row r="9" spans="1:12" x14ac:dyDescent="0.25">
      <c r="G9" s="7" t="s">
        <v>54</v>
      </c>
      <c r="H9">
        <v>4</v>
      </c>
      <c r="I9">
        <v>3</v>
      </c>
      <c r="J9">
        <v>5</v>
      </c>
      <c r="K9">
        <v>3</v>
      </c>
      <c r="L9">
        <v>15</v>
      </c>
    </row>
    <row r="12" spans="1:12" x14ac:dyDescent="0.25">
      <c r="A12" s="6" t="s">
        <v>53</v>
      </c>
      <c r="B12" t="s">
        <v>55</v>
      </c>
    </row>
    <row r="13" spans="1:12" x14ac:dyDescent="0.25">
      <c r="A13" s="7" t="s">
        <v>46</v>
      </c>
      <c r="B13" s="8">
        <v>48000</v>
      </c>
    </row>
    <row r="14" spans="1:12" x14ac:dyDescent="0.25">
      <c r="A14" s="7" t="s">
        <v>43</v>
      </c>
      <c r="B14" s="8">
        <v>0</v>
      </c>
    </row>
    <row r="15" spans="1:12" x14ac:dyDescent="0.25">
      <c r="A15" s="7" t="s">
        <v>15</v>
      </c>
      <c r="B15" s="8">
        <v>130400</v>
      </c>
    </row>
    <row r="16" spans="1:12" x14ac:dyDescent="0.25">
      <c r="A16" s="7" t="s">
        <v>41</v>
      </c>
      <c r="B16" s="8">
        <v>8800</v>
      </c>
    </row>
    <row r="17" spans="1:17" x14ac:dyDescent="0.25">
      <c r="A17" s="7" t="s">
        <v>33</v>
      </c>
      <c r="B17" s="8">
        <v>0</v>
      </c>
    </row>
    <row r="18" spans="1:17" x14ac:dyDescent="0.25">
      <c r="A18" s="7" t="s">
        <v>21</v>
      </c>
      <c r="B18" s="8">
        <v>48000</v>
      </c>
    </row>
    <row r="19" spans="1:17" x14ac:dyDescent="0.25">
      <c r="A19" s="7" t="s">
        <v>31</v>
      </c>
      <c r="B19" s="8">
        <v>43000</v>
      </c>
    </row>
    <row r="20" spans="1:17" x14ac:dyDescent="0.25">
      <c r="A20" s="7" t="s">
        <v>38</v>
      </c>
      <c r="B20" s="8">
        <v>36000</v>
      </c>
    </row>
    <row r="21" spans="1:17" x14ac:dyDescent="0.25">
      <c r="A21" s="7" t="s">
        <v>54</v>
      </c>
      <c r="B21" s="8">
        <v>314200</v>
      </c>
    </row>
    <row r="29" spans="1:17" x14ac:dyDescent="0.25">
      <c r="Q29" s="10"/>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7745-EA12-42BD-824B-F18BF161F905}">
  <dimension ref="A1:N16"/>
  <sheetViews>
    <sheetView zoomScale="91" zoomScaleNormal="91" workbookViewId="0">
      <selection activeCell="I44" sqref="I44"/>
    </sheetView>
  </sheetViews>
  <sheetFormatPr defaultRowHeight="15" x14ac:dyDescent="0.25"/>
  <cols>
    <col min="1" max="1" width="15.85546875" bestFit="1" customWidth="1"/>
    <col min="2" max="2" width="18" bestFit="1" customWidth="1"/>
    <col min="3" max="3" width="18.5703125" style="5" bestFit="1" customWidth="1"/>
    <col min="4" max="4" width="15.85546875" bestFit="1" customWidth="1"/>
    <col min="5" max="5" width="19.5703125" bestFit="1" customWidth="1"/>
    <col min="6" max="6" width="13.42578125" bestFit="1" customWidth="1"/>
    <col min="7" max="7" width="12.85546875" bestFit="1" customWidth="1"/>
    <col min="8" max="8" width="12.42578125" bestFit="1" customWidth="1"/>
    <col min="9" max="9" width="19.5703125" bestFit="1" customWidth="1"/>
    <col min="10" max="10" width="16.42578125" bestFit="1" customWidth="1"/>
    <col min="11" max="11" width="18.5703125" bestFit="1" customWidth="1"/>
    <col min="12" max="12" width="20.85546875" bestFit="1" customWidth="1"/>
    <col min="14" max="14" width="28.7109375" customWidth="1"/>
  </cols>
  <sheetData>
    <row r="1" spans="1:14" x14ac:dyDescent="0.25">
      <c r="A1" s="1" t="s">
        <v>0</v>
      </c>
      <c r="B1" s="1" t="s">
        <v>1</v>
      </c>
      <c r="C1" s="4" t="s">
        <v>2</v>
      </c>
      <c r="D1" s="1" t="s">
        <v>3</v>
      </c>
      <c r="E1" s="1" t="s">
        <v>4</v>
      </c>
      <c r="F1" s="1" t="s">
        <v>5</v>
      </c>
      <c r="G1" s="1" t="s">
        <v>6</v>
      </c>
      <c r="H1" s="1" t="s">
        <v>7</v>
      </c>
      <c r="I1" s="1" t="s">
        <v>8</v>
      </c>
      <c r="J1" s="1" t="s">
        <v>9</v>
      </c>
      <c r="K1" s="1" t="s">
        <v>10</v>
      </c>
      <c r="L1" s="1" t="s">
        <v>11</v>
      </c>
      <c r="N1" t="s">
        <v>10</v>
      </c>
    </row>
    <row r="2" spans="1:14" x14ac:dyDescent="0.25">
      <c r="A2" s="2" t="s">
        <v>12</v>
      </c>
      <c r="B2" s="3">
        <v>46024</v>
      </c>
      <c r="C2" s="3">
        <v>46143</v>
      </c>
      <c r="D2" s="2" t="s">
        <v>13</v>
      </c>
      <c r="E2" s="2" t="s">
        <v>14</v>
      </c>
      <c r="F2" s="2" t="s">
        <v>15</v>
      </c>
      <c r="G2" s="2">
        <v>2</v>
      </c>
      <c r="H2" s="2">
        <v>2</v>
      </c>
      <c r="I2" s="2" t="s">
        <v>16</v>
      </c>
      <c r="J2" s="2">
        <v>2200</v>
      </c>
      <c r="K2" s="2">
        <v>8800</v>
      </c>
      <c r="L2" s="2" t="s">
        <v>17</v>
      </c>
      <c r="N2">
        <f>SUM(K:K)</f>
        <v>314200</v>
      </c>
    </row>
    <row r="3" spans="1:14" x14ac:dyDescent="0.25">
      <c r="A3" s="2" t="s">
        <v>18</v>
      </c>
      <c r="B3" s="3">
        <v>46026</v>
      </c>
      <c r="C3" s="3">
        <v>46296</v>
      </c>
      <c r="D3" s="2" t="s">
        <v>19</v>
      </c>
      <c r="E3" s="2" t="s">
        <v>20</v>
      </c>
      <c r="F3" s="2" t="s">
        <v>21</v>
      </c>
      <c r="G3" s="2">
        <v>2</v>
      </c>
      <c r="H3" s="2">
        <v>3</v>
      </c>
      <c r="I3" s="2" t="s">
        <v>22</v>
      </c>
      <c r="J3" s="2">
        <v>3500</v>
      </c>
      <c r="K3" s="2">
        <v>21000</v>
      </c>
      <c r="L3" s="2" t="s">
        <v>23</v>
      </c>
      <c r="N3" t="s">
        <v>50</v>
      </c>
    </row>
    <row r="4" spans="1:14" x14ac:dyDescent="0.25">
      <c r="A4" s="2" t="s">
        <v>24</v>
      </c>
      <c r="B4" s="3">
        <v>46029</v>
      </c>
      <c r="C4" s="3">
        <v>46357</v>
      </c>
      <c r="D4" s="2" t="s">
        <v>25</v>
      </c>
      <c r="E4" s="2" t="s">
        <v>26</v>
      </c>
      <c r="F4" s="2" t="s">
        <v>15</v>
      </c>
      <c r="G4" s="2">
        <v>4</v>
      </c>
      <c r="H4" s="2">
        <v>2</v>
      </c>
      <c r="I4" s="2" t="s">
        <v>16</v>
      </c>
      <c r="J4" s="2">
        <v>6000</v>
      </c>
      <c r="K4" s="2">
        <v>48000</v>
      </c>
      <c r="L4" s="2" t="s">
        <v>27</v>
      </c>
      <c r="N4">
        <f>COUNTA(A:A)-1</f>
        <v>15</v>
      </c>
    </row>
    <row r="5" spans="1:14" x14ac:dyDescent="0.25">
      <c r="A5" s="2" t="s">
        <v>28</v>
      </c>
      <c r="B5" s="3">
        <v>46032</v>
      </c>
      <c r="C5" s="3">
        <v>46037</v>
      </c>
      <c r="D5" s="2" t="s">
        <v>29</v>
      </c>
      <c r="E5" s="2" t="s">
        <v>30</v>
      </c>
      <c r="F5" s="2" t="s">
        <v>31</v>
      </c>
      <c r="G5" s="2">
        <v>2</v>
      </c>
      <c r="H5" s="2">
        <v>4</v>
      </c>
      <c r="I5" s="2" t="s">
        <v>22</v>
      </c>
      <c r="J5" s="2">
        <v>4500</v>
      </c>
      <c r="K5" s="2">
        <v>36000</v>
      </c>
      <c r="L5" s="2" t="s">
        <v>23</v>
      </c>
      <c r="N5" t="s">
        <v>51</v>
      </c>
    </row>
    <row r="6" spans="1:14" x14ac:dyDescent="0.25">
      <c r="A6" s="2" t="s">
        <v>32</v>
      </c>
      <c r="B6" s="3">
        <v>46035</v>
      </c>
      <c r="C6" s="3">
        <v>46040</v>
      </c>
      <c r="D6" s="2" t="s">
        <v>13</v>
      </c>
      <c r="E6" s="2" t="s">
        <v>26</v>
      </c>
      <c r="F6" s="2" t="s">
        <v>33</v>
      </c>
      <c r="G6" s="2">
        <v>3</v>
      </c>
      <c r="H6" s="2">
        <v>3</v>
      </c>
      <c r="I6" s="2" t="s">
        <v>34</v>
      </c>
      <c r="J6" s="2">
        <v>2200</v>
      </c>
      <c r="K6" s="2">
        <v>0</v>
      </c>
      <c r="L6" s="2" t="s">
        <v>17</v>
      </c>
      <c r="N6">
        <f>AVERAGE(H:H)</f>
        <v>2.6666666666666665</v>
      </c>
    </row>
    <row r="7" spans="1:14" x14ac:dyDescent="0.25">
      <c r="A7" s="2" t="s">
        <v>35</v>
      </c>
      <c r="B7" s="3">
        <v>46038</v>
      </c>
      <c r="C7" s="3">
        <v>46042</v>
      </c>
      <c r="D7" s="2" t="s">
        <v>19</v>
      </c>
      <c r="E7" s="2" t="s">
        <v>14</v>
      </c>
      <c r="F7" s="2" t="s">
        <v>15</v>
      </c>
      <c r="G7" s="2">
        <v>1</v>
      </c>
      <c r="H7" s="2">
        <v>2</v>
      </c>
      <c r="I7" s="2" t="s">
        <v>16</v>
      </c>
      <c r="J7" s="2">
        <v>3500</v>
      </c>
      <c r="K7" s="2">
        <v>7000</v>
      </c>
      <c r="L7" s="2" t="s">
        <v>36</v>
      </c>
      <c r="N7" t="s">
        <v>52</v>
      </c>
    </row>
    <row r="8" spans="1:14" x14ac:dyDescent="0.25">
      <c r="A8" s="2" t="s">
        <v>37</v>
      </c>
      <c r="B8" s="3">
        <v>46042</v>
      </c>
      <c r="C8" s="3">
        <v>46047</v>
      </c>
      <c r="D8" s="2" t="s">
        <v>25</v>
      </c>
      <c r="E8" s="2" t="s">
        <v>20</v>
      </c>
      <c r="F8" s="2" t="s">
        <v>38</v>
      </c>
      <c r="G8" s="2">
        <v>2</v>
      </c>
      <c r="H8" s="2">
        <v>3</v>
      </c>
      <c r="I8" s="2" t="s">
        <v>22</v>
      </c>
      <c r="J8" s="2">
        <v>6000</v>
      </c>
      <c r="K8" s="2">
        <v>36000</v>
      </c>
      <c r="L8" s="2" t="s">
        <v>23</v>
      </c>
      <c r="N8">
        <f>COUNTIF(I:I,"Cancelled")</f>
        <v>2</v>
      </c>
    </row>
    <row r="9" spans="1:14" x14ac:dyDescent="0.25">
      <c r="A9" s="2" t="s">
        <v>39</v>
      </c>
      <c r="B9" s="3">
        <v>46045</v>
      </c>
      <c r="C9" s="3">
        <v>46050</v>
      </c>
      <c r="D9" s="2" t="s">
        <v>29</v>
      </c>
      <c r="E9" s="2" t="s">
        <v>30</v>
      </c>
      <c r="F9" s="2" t="s">
        <v>15</v>
      </c>
      <c r="G9" s="2">
        <v>3</v>
      </c>
      <c r="H9" s="2">
        <v>2</v>
      </c>
      <c r="I9" s="2" t="s">
        <v>16</v>
      </c>
      <c r="J9" s="2">
        <v>4500</v>
      </c>
      <c r="K9" s="2">
        <v>27000</v>
      </c>
      <c r="L9" s="2" t="s">
        <v>17</v>
      </c>
    </row>
    <row r="10" spans="1:14" x14ac:dyDescent="0.25">
      <c r="A10" s="2" t="s">
        <v>40</v>
      </c>
      <c r="B10" s="3">
        <v>46049</v>
      </c>
      <c r="C10" s="3">
        <v>46055</v>
      </c>
      <c r="D10" s="2" t="s">
        <v>13</v>
      </c>
      <c r="E10" s="2" t="s">
        <v>14</v>
      </c>
      <c r="F10" s="2" t="s">
        <v>41</v>
      </c>
      <c r="G10" s="2">
        <v>1</v>
      </c>
      <c r="H10" s="2">
        <v>4</v>
      </c>
      <c r="I10" s="2" t="s">
        <v>22</v>
      </c>
      <c r="J10" s="2">
        <v>2200</v>
      </c>
      <c r="K10" s="2">
        <v>8800</v>
      </c>
      <c r="L10" s="2" t="s">
        <v>36</v>
      </c>
    </row>
    <row r="11" spans="1:14" x14ac:dyDescent="0.25">
      <c r="A11" s="2" t="s">
        <v>42</v>
      </c>
      <c r="B11" s="3">
        <v>46052</v>
      </c>
      <c r="C11" s="3">
        <v>46144</v>
      </c>
      <c r="D11" s="2" t="s">
        <v>19</v>
      </c>
      <c r="E11" s="2" t="s">
        <v>26</v>
      </c>
      <c r="F11" s="2" t="s">
        <v>43</v>
      </c>
      <c r="G11" s="2">
        <v>4</v>
      </c>
      <c r="H11" s="2">
        <v>2</v>
      </c>
      <c r="I11" s="2" t="s">
        <v>34</v>
      </c>
      <c r="J11" s="2">
        <v>3500</v>
      </c>
      <c r="K11" s="2">
        <v>0</v>
      </c>
      <c r="L11" s="2" t="s">
        <v>23</v>
      </c>
    </row>
    <row r="12" spans="1:14" x14ac:dyDescent="0.25">
      <c r="A12" s="2" t="s">
        <v>44</v>
      </c>
      <c r="B12" s="3">
        <v>46056</v>
      </c>
      <c r="C12" s="3">
        <v>46236</v>
      </c>
      <c r="D12" s="2" t="s">
        <v>13</v>
      </c>
      <c r="E12" s="2" t="s">
        <v>20</v>
      </c>
      <c r="F12" s="2" t="s">
        <v>15</v>
      </c>
      <c r="G12" s="2">
        <v>2</v>
      </c>
      <c r="H12" s="2">
        <v>3</v>
      </c>
      <c r="I12" s="2" t="s">
        <v>16</v>
      </c>
      <c r="J12" s="2">
        <v>2200</v>
      </c>
      <c r="K12" s="2">
        <v>13200</v>
      </c>
      <c r="L12" s="2" t="s">
        <v>17</v>
      </c>
    </row>
    <row r="13" spans="1:14" x14ac:dyDescent="0.25">
      <c r="A13" s="2" t="s">
        <v>45</v>
      </c>
      <c r="B13" s="3">
        <v>46059</v>
      </c>
      <c r="C13" s="3">
        <v>46358</v>
      </c>
      <c r="D13" s="2" t="s">
        <v>25</v>
      </c>
      <c r="E13" s="2" t="s">
        <v>26</v>
      </c>
      <c r="F13" s="2" t="s">
        <v>46</v>
      </c>
      <c r="G13" s="2">
        <v>4</v>
      </c>
      <c r="H13" s="2">
        <v>2</v>
      </c>
      <c r="I13" s="2" t="s">
        <v>22</v>
      </c>
      <c r="J13" s="2">
        <v>6000</v>
      </c>
      <c r="K13" s="2">
        <v>48000</v>
      </c>
      <c r="L13" s="2" t="s">
        <v>27</v>
      </c>
    </row>
    <row r="14" spans="1:14" x14ac:dyDescent="0.25">
      <c r="A14" s="2" t="s">
        <v>47</v>
      </c>
      <c r="B14" s="3">
        <v>46062</v>
      </c>
      <c r="C14" s="3">
        <v>46067</v>
      </c>
      <c r="D14" s="2" t="s">
        <v>29</v>
      </c>
      <c r="E14" s="2" t="s">
        <v>30</v>
      </c>
      <c r="F14" s="2" t="s">
        <v>21</v>
      </c>
      <c r="G14" s="2">
        <v>2</v>
      </c>
      <c r="H14" s="2">
        <v>3</v>
      </c>
      <c r="I14" s="2" t="s">
        <v>16</v>
      </c>
      <c r="J14" s="2">
        <v>4500</v>
      </c>
      <c r="K14" s="2">
        <v>27000</v>
      </c>
      <c r="L14" s="2" t="s">
        <v>23</v>
      </c>
    </row>
    <row r="15" spans="1:14" x14ac:dyDescent="0.25">
      <c r="A15" s="2" t="s">
        <v>48</v>
      </c>
      <c r="B15" s="3">
        <v>46065</v>
      </c>
      <c r="C15" s="3">
        <v>46071</v>
      </c>
      <c r="D15" s="2" t="s">
        <v>19</v>
      </c>
      <c r="E15" s="2" t="s">
        <v>14</v>
      </c>
      <c r="F15" s="2" t="s">
        <v>31</v>
      </c>
      <c r="G15" s="2">
        <v>1</v>
      </c>
      <c r="H15" s="2">
        <v>2</v>
      </c>
      <c r="I15" s="2" t="s">
        <v>22</v>
      </c>
      <c r="J15" s="2">
        <v>3500</v>
      </c>
      <c r="K15" s="2">
        <v>7000</v>
      </c>
      <c r="L15" s="2" t="s">
        <v>17</v>
      </c>
    </row>
    <row r="16" spans="1:14" x14ac:dyDescent="0.25">
      <c r="A16" s="2" t="s">
        <v>49</v>
      </c>
      <c r="B16" s="3">
        <v>46068</v>
      </c>
      <c r="C16" s="3">
        <v>46073</v>
      </c>
      <c r="D16" s="2" t="s">
        <v>13</v>
      </c>
      <c r="E16" s="2" t="s">
        <v>26</v>
      </c>
      <c r="F16" s="2" t="s">
        <v>15</v>
      </c>
      <c r="G16" s="2">
        <v>4</v>
      </c>
      <c r="H16" s="2">
        <v>3</v>
      </c>
      <c r="I16" s="2" t="s">
        <v>16</v>
      </c>
      <c r="J16" s="2">
        <v>2200</v>
      </c>
      <c r="K16" s="2">
        <v>26400</v>
      </c>
      <c r="L16" s="2" t="s">
        <v>36</v>
      </c>
    </row>
  </sheetData>
  <pageMargins left="0.7" right="0.7" top="0.75" bottom="0.75" header="0.3" footer="0.3"/>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266D8672741584E83491DBA591074DD" ma:contentTypeVersion="4" ma:contentTypeDescription="Create a new document." ma:contentTypeScope="" ma:versionID="db14919229508d86de6874ea490610dd">
  <xsd:schema xmlns:xsd="http://www.w3.org/2001/XMLSchema" xmlns:xs="http://www.w3.org/2001/XMLSchema" xmlns:p="http://schemas.microsoft.com/office/2006/metadata/properties" xmlns:ns3="f8c1d832-e063-4e95-b793-00c0fb1d6b60" targetNamespace="http://schemas.microsoft.com/office/2006/metadata/properties" ma:root="true" ma:fieldsID="a8e9c263673a3dd9955ec6404f170797" ns3:_="">
    <xsd:import namespace="f8c1d832-e063-4e95-b793-00c0fb1d6b6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c1d832-e063-4e95-b793-00c0fb1d6b6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839161-1606-42F5-92EA-0E0A4D012C87}">
  <ds:schemaRefs>
    <ds:schemaRef ds:uri="f8c1d832-e063-4e95-b793-00c0fb1d6b60"/>
    <ds:schemaRef ds:uri="http://www.w3.org/XML/1998/namespace"/>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http://purl.org/dc/dcmitype/"/>
  </ds:schemaRefs>
</ds:datastoreItem>
</file>

<file path=customXml/itemProps2.xml><?xml version="1.0" encoding="utf-8"?>
<ds:datastoreItem xmlns:ds="http://schemas.openxmlformats.org/officeDocument/2006/customXml" ds:itemID="{8A0135AD-B08F-4BD1-9930-26752C314CB3}">
  <ds:schemaRefs>
    <ds:schemaRef ds:uri="http://schemas.microsoft.com/sharepoint/v3/contenttype/forms"/>
  </ds:schemaRefs>
</ds:datastoreItem>
</file>

<file path=customXml/itemProps3.xml><?xml version="1.0" encoding="utf-8"?>
<ds:datastoreItem xmlns:ds="http://schemas.openxmlformats.org/officeDocument/2006/customXml" ds:itemID="{95489CFB-704E-48F0-956A-78AC2A9610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c1d832-e063-4e95-b793-00c0fb1d6b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Hotel Booking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S0223163</dc:creator>
  <cp:lastModifiedBy>S0223163</cp:lastModifiedBy>
  <dcterms:created xsi:type="dcterms:W3CDTF">2026-09-09T15:16:59Z</dcterms:created>
  <dcterms:modified xsi:type="dcterms:W3CDTF">2026-09-27T07:25:39Z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0x0101007266D8672741584E83491DBA591074DD</vt:lpwstr>
  </property>
</Properties>
</file>